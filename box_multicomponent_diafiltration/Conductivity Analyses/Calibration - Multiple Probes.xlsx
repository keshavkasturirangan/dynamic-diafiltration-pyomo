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e588a783aebd4e/Documents/Jonathan Ouimet/University of Notre Dame/Research Projects/Diafiltration/Diafiltration Permeate Probe/"/>
    </mc:Choice>
  </mc:AlternateContent>
  <xr:revisionPtr revIDLastSave="27" documentId="13_ncr:1_{652F704A-CF12-485A-B1C4-6367C03E8FB2}" xr6:coauthVersionLast="47" xr6:coauthVersionMax="47" xr10:uidLastSave="{9CB98CD7-09AE-4408-B2D3-E86A86F937DF}"/>
  <bookViews>
    <workbookView xWindow="-110" yWindow="-110" windowWidth="22620" windowHeight="13500" xr2:uid="{6956B2CE-5160-4B68-9121-FCCD4BFF8F51}"/>
  </bookViews>
  <sheets>
    <sheet name="KCl" sheetId="1" r:id="rId1"/>
    <sheet name="MgCl2" sheetId="2" r:id="rId2"/>
  </sheets>
  <definedNames>
    <definedName name="solver_adj" localSheetId="0" hidden="1">KCl!#REF!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KCl!#REF!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6" i="1"/>
</calcChain>
</file>

<file path=xl/sharedStrings.xml><?xml version="1.0" encoding="utf-8"?>
<sst xmlns="http://schemas.openxmlformats.org/spreadsheetml/2006/main" count="38" uniqueCount="10">
  <si>
    <t>KCl Concentration</t>
  </si>
  <si>
    <t>mM</t>
  </si>
  <si>
    <t>Conductivity @ Temp</t>
  </si>
  <si>
    <t>Temp: 21.4 - 21.9 C</t>
  </si>
  <si>
    <t>uS/cm</t>
  </si>
  <si>
    <t>Probe #1</t>
  </si>
  <si>
    <t>Probe #2</t>
  </si>
  <si>
    <t>Probe #3</t>
  </si>
  <si>
    <t>Temp: 21.2 - 23.1 C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</si>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</sst>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MgCl2!$D$4:$D$5</c:f>
              <c:strCache>
                <c:ptCount val="2"/>
                <c:pt idx="0">
                  <c:v>Conductivity @ Temp</c:v>
                </c:pt>
                <c:pt idx="1">
                  <c:v>uS/cm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5154155730533683"/>
                  <c:y val="2.736111111111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MgCl2!$C$6:$C$21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  <c:pt idx="11">
                  <c:v>60</c:v>
                </c:pt>
                <c:pt idx="12">
                  <c:v>70</c:v>
                </c:pt>
                <c:pt idx="13">
                  <c:v>80</c:v>
                </c:pt>
                <c:pt idx="14">
                  <c:v>90</c:v>
                </c:pt>
                <c:pt idx="15">
                  <c:v>100</c:v>
                </c:pt>
              </c:numCache>
            </c:numRef>
          </c:xVal>
          <c:yVal>
            <c:numRef>
              <c:f>MgCl2!$D$6:$D$21</c:f>
              <c:numCache>
                <c:formatCode>General</c:formatCode>
                <c:ptCount val="16"/>
                <c:pt idx="0">
                  <c:v>3.36</c:v>
                </c:pt>
                <c:pt idx="1">
                  <c:v>209.49</c:v>
                </c:pt>
                <c:pt idx="2">
                  <c:v>407.5</c:v>
                </c:pt>
                <c:pt idx="3">
                  <c:v>608.49</c:v>
                </c:pt>
                <c:pt idx="4">
                  <c:v>804.32</c:v>
                </c:pt>
                <c:pt idx="5">
                  <c:v>994.15</c:v>
                </c:pt>
                <c:pt idx="6">
                  <c:v>1905.1</c:v>
                </c:pt>
                <c:pt idx="7">
                  <c:v>3666.2</c:v>
                </c:pt>
                <c:pt idx="8">
                  <c:v>5312.7</c:v>
                </c:pt>
                <c:pt idx="9">
                  <c:v>6891.7</c:v>
                </c:pt>
                <c:pt idx="10">
                  <c:v>8456.7000000000007</c:v>
                </c:pt>
                <c:pt idx="11">
                  <c:v>9961.7999999999993</c:v>
                </c:pt>
                <c:pt idx="12">
                  <c:v>11513</c:v>
                </c:pt>
                <c:pt idx="13">
                  <c:v>12956</c:v>
                </c:pt>
                <c:pt idx="14">
                  <c:v>14441</c:v>
                </c:pt>
                <c:pt idx="15">
                  <c:v>15913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A-4C7E-BB1B-7CAED715BEE2}"/>
            </c:ext>
          </c:extLst>
        </c:ser>
        <c:ser>
          <c:idx val="1"/>
          <c:order val="1"/>
          <c:tx>
            <c:strRef>
              <c:f>MgCl2!$E$4:$E$5</c:f>
              <c:strCache>
                <c:ptCount val="2"/>
                <c:pt idx="0">
                  <c:v>Conductivity @ Temp</c:v>
                </c:pt>
                <c:pt idx="1">
                  <c:v>uS/cm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MgCl2!$C$6:$C$21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  <c:pt idx="11">
                  <c:v>60</c:v>
                </c:pt>
                <c:pt idx="12">
                  <c:v>70</c:v>
                </c:pt>
                <c:pt idx="13">
                  <c:v>80</c:v>
                </c:pt>
                <c:pt idx="14">
                  <c:v>90</c:v>
                </c:pt>
                <c:pt idx="15">
                  <c:v>100</c:v>
                </c:pt>
              </c:numCache>
            </c:numRef>
          </c:xVal>
          <c:yVal>
            <c:numRef>
              <c:f>MgCl2!$E$6:$E$21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BA-4C7E-BB1B-7CAED715BEE2}"/>
            </c:ext>
          </c:extLst>
        </c:ser>
        <c:ser>
          <c:idx val="2"/>
          <c:order val="2"/>
          <c:tx>
            <c:strRef>
              <c:f>MgCl2!$F$4:$F$5</c:f>
              <c:strCache>
                <c:ptCount val="2"/>
                <c:pt idx="0">
                  <c:v>Conductivity @ Temp</c:v>
                </c:pt>
                <c:pt idx="1">
                  <c:v>uS/cm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MgCl2!$C$6:$C$21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10</c:v>
                </c:pt>
                <c:pt idx="7">
                  <c:v>20</c:v>
                </c:pt>
                <c:pt idx="8">
                  <c:v>30</c:v>
                </c:pt>
                <c:pt idx="9">
                  <c:v>40</c:v>
                </c:pt>
                <c:pt idx="10">
                  <c:v>50</c:v>
                </c:pt>
                <c:pt idx="11">
                  <c:v>60</c:v>
                </c:pt>
                <c:pt idx="12">
                  <c:v>70</c:v>
                </c:pt>
                <c:pt idx="13">
                  <c:v>80</c:v>
                </c:pt>
                <c:pt idx="14">
                  <c:v>90</c:v>
                </c:pt>
                <c:pt idx="15">
                  <c:v>100</c:v>
                </c:pt>
              </c:numCache>
            </c:numRef>
          </c:xVal>
          <c:yVal>
            <c:numRef>
              <c:f>MgCl2!$F$6:$F$21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BA-4C7E-BB1B-7CAED715BE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3533215"/>
        <c:axId val="1723533695"/>
      </c:scatterChart>
      <c:valAx>
        <c:axId val="1723533215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33695"/>
        <c:crosses val="autoZero"/>
        <c:crossBetween val="midCat"/>
      </c:valAx>
      <c:valAx>
        <c:axId val="1723533695"/>
        <c:scaling>
          <c:orientation val="minMax"/>
          <c:max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533215"/>
        <c:crosses val="autoZero"/>
        <c:crossBetween val="midCat"/>
        <c:majorUnit val="2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193675</xdr:colOff>
      <xdr:row>22</xdr:row>
      <xdr:rowOff>38100</xdr:rowOff>
    </xdr:from>
    <xdr:to>
      <xdr:col>8</xdr:col>
      <xdr:colOff>193675</xdr:colOff>
      <xdr:row>37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1BD41B-82FC-685C-EB16-3BA5DACDED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B1C19-C9D4-4E42-9CBC-E0BDAB4360D6}">
  <dimension ref="C2:L21"/>
  <sheetViews>
    <sheetView tabSelected="1" zoomScaleNormal="100" workbookViewId="0">
      <selection activeCell="N21" sqref="N21"/>
    </sheetView>
  </sheetViews>
  <sheetFormatPr defaultRowHeight="14.5" x14ac:dyDescent="0.35"/>
  <cols>
    <col min="3" max="6" width="12.6328125" customWidth="1"/>
    <col min="10" max="12" width="11.90625" customWidth="1"/>
  </cols>
  <sheetData>
    <row r="2" spans="3:12" x14ac:dyDescent="0.35">
      <c r="D2" t="s">
        <v>5</v>
      </c>
      <c r="E2" t="s">
        <v>6</v>
      </c>
      <c r="F2" t="s">
        <v>7</v>
      </c>
      <c r="J2" t="s">
        <v>5</v>
      </c>
      <c r="K2" t="s">
        <v>6</v>
      </c>
      <c r="L2" t="s">
        <v>7</v>
      </c>
    </row>
    <row r="3" spans="3:12" s="1" customFormat="1" ht="33" customHeight="1" x14ac:dyDescent="0.35">
      <c r="D3" s="1" t="s">
        <v>3</v>
      </c>
      <c r="E3" s="1" t="s">
        <v>8</v>
      </c>
      <c r="F3" s="1" t="s">
        <v>8</v>
      </c>
      <c r="J3" s="1" t="s">
        <v>3</v>
      </c>
      <c r="K3" s="1" t="s">
        <v>8</v>
      </c>
      <c r="L3" s="1" t="s">
        <v>8</v>
      </c>
    </row>
    <row r="4" spans="3:12" s="1" customFormat="1" ht="35.5" customHeight="1" x14ac:dyDescent="0.35">
      <c r="C4" s="1" t="s">
        <v>0</v>
      </c>
      <c r="D4" s="1" t="s">
        <v>2</v>
      </c>
      <c r="E4" s="1" t="s">
        <v>2</v>
      </c>
      <c r="F4" s="1" t="s">
        <v>2</v>
      </c>
      <c r="H4" s="1" t="s">
        <v>9</v>
      </c>
      <c r="J4" s="1" t="s">
        <v>2</v>
      </c>
      <c r="K4" s="1" t="s">
        <v>2</v>
      </c>
      <c r="L4" s="1" t="s">
        <v>2</v>
      </c>
    </row>
    <row r="5" spans="3:12" x14ac:dyDescent="0.35">
      <c r="C5" t="s">
        <v>1</v>
      </c>
      <c r="D5" t="s">
        <v>4</v>
      </c>
      <c r="E5" t="s">
        <v>4</v>
      </c>
      <c r="F5" t="s">
        <v>4</v>
      </c>
      <c r="J5" t="s">
        <v>4</v>
      </c>
      <c r="K5" t="s">
        <v>4</v>
      </c>
      <c r="L5" t="s">
        <v>4</v>
      </c>
    </row>
    <row r="6" spans="3:12" x14ac:dyDescent="0.35">
      <c r="C6">
        <v>0</v>
      </c>
      <c r="D6">
        <v>7.66</v>
      </c>
      <c r="E6">
        <v>4.09</v>
      </c>
      <c r="F6">
        <v>5.26</v>
      </c>
      <c r="H6">
        <f>AVERAGE(D6:F6)</f>
        <v>5.669999999999999</v>
      </c>
      <c r="J6" s="2">
        <f>ABS(1-D6/$H6)</f>
        <v>0.35097001763668456</v>
      </c>
      <c r="K6" s="2">
        <f t="shared" ref="K6:L21" si="0">ABS(1-E6/$H6)</f>
        <v>0.2786596119929452</v>
      </c>
      <c r="L6" s="2">
        <f t="shared" si="0"/>
        <v>7.2310405643738807E-2</v>
      </c>
    </row>
    <row r="7" spans="3:12" x14ac:dyDescent="0.35">
      <c r="C7">
        <v>1</v>
      </c>
      <c r="D7">
        <v>133.06</v>
      </c>
      <c r="E7">
        <v>135.51</v>
      </c>
      <c r="F7">
        <v>134.9</v>
      </c>
      <c r="H7">
        <f t="shared" ref="H7:H21" si="1">AVERAGE(D7:F7)</f>
        <v>134.49</v>
      </c>
      <c r="J7" s="2">
        <f t="shared" ref="J7:J21" si="2">ABS(1-D7/$H7)</f>
        <v>1.0632760800059482E-2</v>
      </c>
      <c r="K7" s="2">
        <f t="shared" si="0"/>
        <v>7.5842070042380083E-3</v>
      </c>
      <c r="L7" s="2">
        <f t="shared" si="0"/>
        <v>3.0485537958211406E-3</v>
      </c>
    </row>
    <row r="8" spans="3:12" x14ac:dyDescent="0.35">
      <c r="C8">
        <v>2</v>
      </c>
      <c r="D8">
        <v>259.45999999999998</v>
      </c>
      <c r="E8">
        <v>263.62</v>
      </c>
      <c r="F8">
        <v>264.98</v>
      </c>
      <c r="H8">
        <f t="shared" si="1"/>
        <v>262.68666666666667</v>
      </c>
      <c r="J8" s="2">
        <f t="shared" si="2"/>
        <v>1.228332868055737E-2</v>
      </c>
      <c r="K8" s="2">
        <f t="shared" si="0"/>
        <v>3.5530289571861218E-3</v>
      </c>
      <c r="L8" s="2">
        <f t="shared" si="0"/>
        <v>8.7302997233713597E-3</v>
      </c>
    </row>
    <row r="9" spans="3:12" x14ac:dyDescent="0.35">
      <c r="C9">
        <v>3</v>
      </c>
      <c r="D9">
        <v>383.33</v>
      </c>
      <c r="E9">
        <v>392.85</v>
      </c>
      <c r="F9">
        <v>392.23</v>
      </c>
      <c r="H9">
        <f t="shared" si="1"/>
        <v>389.47</v>
      </c>
      <c r="J9" s="2">
        <f t="shared" si="2"/>
        <v>1.5765013993375709E-2</v>
      </c>
      <c r="K9" s="2">
        <f t="shared" si="0"/>
        <v>8.6784604719234437E-3</v>
      </c>
      <c r="L9" s="2">
        <f t="shared" si="0"/>
        <v>7.0865535214521547E-3</v>
      </c>
    </row>
    <row r="10" spans="3:12" x14ac:dyDescent="0.35">
      <c r="C10">
        <v>4</v>
      </c>
      <c r="D10">
        <v>509.86</v>
      </c>
      <c r="E10">
        <v>518.82000000000005</v>
      </c>
      <c r="F10">
        <v>520.16999999999996</v>
      </c>
      <c r="H10">
        <f t="shared" si="1"/>
        <v>516.2833333333333</v>
      </c>
      <c r="J10" s="2">
        <f t="shared" si="2"/>
        <v>1.2441488846563487E-2</v>
      </c>
      <c r="K10" s="2">
        <f t="shared" si="0"/>
        <v>4.9133227878750407E-3</v>
      </c>
      <c r="L10" s="2">
        <f t="shared" si="0"/>
        <v>7.5281660586887789E-3</v>
      </c>
    </row>
    <row r="11" spans="3:12" x14ac:dyDescent="0.35">
      <c r="C11">
        <v>5</v>
      </c>
      <c r="D11">
        <v>636.51</v>
      </c>
      <c r="E11">
        <v>649.64</v>
      </c>
      <c r="F11">
        <v>650.54</v>
      </c>
      <c r="H11">
        <f t="shared" si="1"/>
        <v>645.56333333333339</v>
      </c>
      <c r="J11" s="2">
        <f t="shared" si="2"/>
        <v>1.4023927422561311E-2</v>
      </c>
      <c r="K11" s="2">
        <f t="shared" si="0"/>
        <v>6.3148980993343873E-3</v>
      </c>
      <c r="L11" s="2">
        <f t="shared" si="0"/>
        <v>7.7090293232267015E-3</v>
      </c>
    </row>
    <row r="12" spans="3:12" x14ac:dyDescent="0.35">
      <c r="C12">
        <v>10</v>
      </c>
      <c r="D12">
        <v>1233.9000000000001</v>
      </c>
      <c r="E12">
        <v>1273.5999999999999</v>
      </c>
      <c r="F12">
        <v>1265.2</v>
      </c>
      <c r="H12">
        <f t="shared" si="1"/>
        <v>1257.5666666666666</v>
      </c>
      <c r="J12" s="2">
        <f t="shared" si="2"/>
        <v>1.8819413152384112E-2</v>
      </c>
      <c r="K12" s="2">
        <f t="shared" si="0"/>
        <v>1.274948975534751E-2</v>
      </c>
      <c r="L12" s="2">
        <f t="shared" si="0"/>
        <v>6.0699233970367139E-3</v>
      </c>
    </row>
    <row r="13" spans="3:12" x14ac:dyDescent="0.35">
      <c r="C13">
        <v>20</v>
      </c>
      <c r="D13">
        <v>2417.8000000000002</v>
      </c>
      <c r="E13">
        <v>2484.6</v>
      </c>
      <c r="F13">
        <v>2468.5</v>
      </c>
      <c r="H13">
        <f t="shared" si="1"/>
        <v>2456.9666666666667</v>
      </c>
      <c r="J13" s="2">
        <f t="shared" si="2"/>
        <v>1.5941065541521304E-2</v>
      </c>
      <c r="K13" s="2">
        <f t="shared" si="0"/>
        <v>1.1246930496954244E-2</v>
      </c>
      <c r="L13" s="2">
        <f t="shared" si="0"/>
        <v>4.6941350445670604E-3</v>
      </c>
    </row>
    <row r="14" spans="3:12" x14ac:dyDescent="0.35">
      <c r="C14">
        <v>30</v>
      </c>
      <c r="D14">
        <v>3565.4</v>
      </c>
      <c r="E14">
        <v>3657.7</v>
      </c>
      <c r="F14">
        <v>3633.5</v>
      </c>
      <c r="H14">
        <f t="shared" si="1"/>
        <v>3618.8666666666668</v>
      </c>
      <c r="J14" s="2">
        <f t="shared" si="2"/>
        <v>1.4774422931672859E-2</v>
      </c>
      <c r="K14" s="2">
        <f t="shared" si="0"/>
        <v>1.0730799697879601E-2</v>
      </c>
      <c r="L14" s="2">
        <f t="shared" si="0"/>
        <v>4.0436232337932587E-3</v>
      </c>
    </row>
    <row r="15" spans="3:12" x14ac:dyDescent="0.35">
      <c r="C15">
        <v>40</v>
      </c>
      <c r="D15">
        <v>4706.6000000000004</v>
      </c>
      <c r="E15">
        <v>4797.3</v>
      </c>
      <c r="F15">
        <v>4781.2</v>
      </c>
      <c r="H15">
        <f t="shared" si="1"/>
        <v>4761.7000000000007</v>
      </c>
      <c r="J15" s="2">
        <f t="shared" si="2"/>
        <v>1.1571497574395795E-2</v>
      </c>
      <c r="K15" s="2">
        <f t="shared" si="0"/>
        <v>7.4763214818236445E-3</v>
      </c>
      <c r="L15" s="2">
        <f t="shared" si="0"/>
        <v>4.0951760925718173E-3</v>
      </c>
    </row>
    <row r="16" spans="3:12" x14ac:dyDescent="0.35">
      <c r="C16">
        <v>50</v>
      </c>
      <c r="D16">
        <v>5855.8</v>
      </c>
      <c r="E16">
        <v>5984</v>
      </c>
      <c r="F16">
        <v>5924.3</v>
      </c>
      <c r="H16">
        <f t="shared" si="1"/>
        <v>5921.3666666666659</v>
      </c>
      <c r="J16" s="2">
        <f t="shared" si="2"/>
        <v>1.1072894207981077E-2</v>
      </c>
      <c r="K16" s="2">
        <f t="shared" si="0"/>
        <v>1.057751307412147E-2</v>
      </c>
      <c r="L16" s="2">
        <f t="shared" si="0"/>
        <v>4.9538113385994009E-4</v>
      </c>
    </row>
    <row r="17" spans="3:12" x14ac:dyDescent="0.35">
      <c r="C17">
        <v>60</v>
      </c>
      <c r="D17">
        <v>6907</v>
      </c>
      <c r="E17">
        <v>7063</v>
      </c>
      <c r="F17">
        <v>7020</v>
      </c>
      <c r="H17">
        <f t="shared" si="1"/>
        <v>6996.666666666667</v>
      </c>
      <c r="J17" s="2">
        <f t="shared" si="2"/>
        <v>1.2815626488804188E-2</v>
      </c>
      <c r="K17" s="2">
        <f t="shared" si="0"/>
        <v>9.4807050976655205E-3</v>
      </c>
      <c r="L17" s="2">
        <f t="shared" si="0"/>
        <v>3.3349213911386677E-3</v>
      </c>
    </row>
    <row r="18" spans="3:12" x14ac:dyDescent="0.35">
      <c r="C18">
        <v>70</v>
      </c>
      <c r="D18">
        <v>8078.9</v>
      </c>
      <c r="E18">
        <v>8152.1</v>
      </c>
      <c r="F18">
        <v>8104.2</v>
      </c>
      <c r="H18">
        <f t="shared" si="1"/>
        <v>8111.7333333333336</v>
      </c>
      <c r="J18" s="2">
        <f t="shared" si="2"/>
        <v>4.0476347019955394E-3</v>
      </c>
      <c r="K18" s="2">
        <f t="shared" si="0"/>
        <v>4.9763305828594007E-3</v>
      </c>
      <c r="L18" s="2">
        <f t="shared" si="0"/>
        <v>9.2869588086397226E-4</v>
      </c>
    </row>
    <row r="19" spans="3:12" x14ac:dyDescent="0.35">
      <c r="C19">
        <v>80</v>
      </c>
      <c r="D19">
        <v>9150.1</v>
      </c>
      <c r="E19">
        <v>9252.5</v>
      </c>
      <c r="F19">
        <v>9198.4</v>
      </c>
      <c r="H19">
        <f t="shared" si="1"/>
        <v>9200.3333333333339</v>
      </c>
      <c r="J19" s="2">
        <f t="shared" si="2"/>
        <v>5.4599471033658364E-3</v>
      </c>
      <c r="K19" s="2">
        <f t="shared" si="0"/>
        <v>5.6700844172312692E-3</v>
      </c>
      <c r="L19" s="2">
        <f t="shared" si="0"/>
        <v>2.101373138655438E-4</v>
      </c>
    </row>
    <row r="20" spans="3:12" x14ac:dyDescent="0.35">
      <c r="C20">
        <v>90</v>
      </c>
      <c r="D20">
        <v>10216</v>
      </c>
      <c r="E20">
        <v>10312</v>
      </c>
      <c r="F20">
        <v>10298</v>
      </c>
      <c r="H20">
        <f t="shared" si="1"/>
        <v>10275.333333333334</v>
      </c>
      <c r="J20" s="2">
        <f t="shared" si="2"/>
        <v>5.7743463310193643E-3</v>
      </c>
      <c r="K20" s="2">
        <f t="shared" si="0"/>
        <v>3.5684162719782364E-3</v>
      </c>
      <c r="L20" s="2">
        <f t="shared" si="0"/>
        <v>2.2059300590409059E-3</v>
      </c>
    </row>
    <row r="21" spans="3:12" x14ac:dyDescent="0.35">
      <c r="C21">
        <v>100</v>
      </c>
      <c r="D21">
        <v>11339</v>
      </c>
      <c r="E21">
        <v>11412</v>
      </c>
      <c r="F21">
        <v>11379</v>
      </c>
      <c r="H21">
        <f t="shared" si="1"/>
        <v>11376.666666666666</v>
      </c>
      <c r="J21" s="2">
        <f t="shared" si="2"/>
        <v>3.3108702021681369E-3</v>
      </c>
      <c r="K21" s="2">
        <f t="shared" si="0"/>
        <v>3.1057720480516249E-3</v>
      </c>
      <c r="L21" s="2">
        <f t="shared" si="0"/>
        <v>2.0509815411662302E-4</v>
      </c>
    </row>
  </sheetData>
  <pageMargins left="0.7" right="0.7" top="0.75" bottom="0.75" header="0.3" footer="0.3"/>
  <ignoredErrors>
    <ignoredError sqref="H6:H2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24D7-9838-442A-A02C-F87358776BC8}">
  <dimension ref="C2:F21"/>
  <sheetViews>
    <sheetView workbookViewId="0">
      <selection activeCell="E20" sqref="E20"/>
    </sheetView>
  </sheetViews>
  <sheetFormatPr defaultRowHeight="14.5" x14ac:dyDescent="0.35"/>
  <cols>
    <col min="4" max="7" width="12" customWidth="1"/>
  </cols>
  <sheetData>
    <row r="2" spans="3:6" x14ac:dyDescent="0.35">
      <c r="D2" t="s">
        <v>5</v>
      </c>
      <c r="E2" t="s">
        <v>6</v>
      </c>
      <c r="F2" t="s">
        <v>7</v>
      </c>
    </row>
    <row r="3" spans="3:6" x14ac:dyDescent="0.35">
      <c r="C3" s="1"/>
      <c r="D3" s="1"/>
      <c r="E3" s="1"/>
      <c r="F3" s="1"/>
    </row>
    <row r="4" spans="3:6" ht="43.5" x14ac:dyDescent="0.35">
      <c r="C4" s="1" t="s">
        <v>0</v>
      </c>
      <c r="D4" s="1" t="s">
        <v>2</v>
      </c>
      <c r="E4" s="1" t="s">
        <v>2</v>
      </c>
      <c r="F4" s="1" t="s">
        <v>2</v>
      </c>
    </row>
    <row r="5" spans="3:6" x14ac:dyDescent="0.35">
      <c r="C5" t="s">
        <v>1</v>
      </c>
      <c r="D5" t="s">
        <v>4</v>
      </c>
      <c r="E5" t="s">
        <v>4</v>
      </c>
      <c r="F5" t="s">
        <v>4</v>
      </c>
    </row>
    <row r="6" spans="3:6" x14ac:dyDescent="0.35">
      <c r="C6">
        <v>0</v>
      </c>
      <c r="D6">
        <v>3.36</v>
      </c>
    </row>
    <row r="7" spans="3:6" x14ac:dyDescent="0.35">
      <c r="C7">
        <v>1</v>
      </c>
      <c r="D7">
        <v>209.49</v>
      </c>
    </row>
    <row r="8" spans="3:6" x14ac:dyDescent="0.35">
      <c r="C8">
        <v>2</v>
      </c>
      <c r="D8">
        <v>407.5</v>
      </c>
    </row>
    <row r="9" spans="3:6" x14ac:dyDescent="0.35">
      <c r="C9">
        <v>3</v>
      </c>
      <c r="D9">
        <v>608.49</v>
      </c>
    </row>
    <row r="10" spans="3:6" x14ac:dyDescent="0.35">
      <c r="C10">
        <v>4</v>
      </c>
      <c r="D10">
        <v>804.32</v>
      </c>
    </row>
    <row r="11" spans="3:6" x14ac:dyDescent="0.35">
      <c r="C11">
        <v>5</v>
      </c>
      <c r="D11">
        <v>994.15</v>
      </c>
    </row>
    <row r="12" spans="3:6" x14ac:dyDescent="0.35">
      <c r="C12">
        <v>10</v>
      </c>
      <c r="D12">
        <v>1905.1</v>
      </c>
    </row>
    <row r="13" spans="3:6" x14ac:dyDescent="0.35">
      <c r="C13">
        <v>20</v>
      </c>
      <c r="D13">
        <v>3666.2</v>
      </c>
    </row>
    <row r="14" spans="3:6" x14ac:dyDescent="0.35">
      <c r="C14">
        <v>30</v>
      </c>
      <c r="D14">
        <v>5312.7</v>
      </c>
    </row>
    <row r="15" spans="3:6" x14ac:dyDescent="0.35">
      <c r="C15">
        <v>40</v>
      </c>
      <c r="D15">
        <v>6891.7</v>
      </c>
    </row>
    <row r="16" spans="3:6" x14ac:dyDescent="0.35">
      <c r="C16">
        <v>50</v>
      </c>
      <c r="D16">
        <v>8456.7000000000007</v>
      </c>
    </row>
    <row r="17" spans="3:4" x14ac:dyDescent="0.35">
      <c r="C17">
        <v>60</v>
      </c>
      <c r="D17">
        <v>9961.7999999999993</v>
      </c>
    </row>
    <row r="18" spans="3:4" x14ac:dyDescent="0.35">
      <c r="C18">
        <v>70</v>
      </c>
      <c r="D18">
        <v>11513</v>
      </c>
    </row>
    <row r="19" spans="3:4" x14ac:dyDescent="0.35">
      <c r="C19">
        <v>80</v>
      </c>
      <c r="D19">
        <v>12956</v>
      </c>
    </row>
    <row r="20" spans="3:4" x14ac:dyDescent="0.35">
      <c r="C20">
        <v>90</v>
      </c>
      <c r="D20">
        <v>14441</v>
      </c>
    </row>
    <row r="21" spans="3:4" x14ac:dyDescent="0.35">
      <c r="C21">
        <v>100</v>
      </c>
      <c r="D21">
        <v>15913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KCl</vt:lpstr>
      <vt:lpstr>MgCl2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Ouimet</dc:creator>
  <cp:lastModifiedBy>Jonathan Ouimet</cp:lastModifiedBy>
  <dcterms:created xsi:type="dcterms:W3CDTF">2024-04-03T01:01:21Z</dcterms:created>
  <dcterms:modified xsi:type="dcterms:W3CDTF">2024-08-08T22:48:15Z</dcterms:modified>
</cp:coreProperties>
</file>