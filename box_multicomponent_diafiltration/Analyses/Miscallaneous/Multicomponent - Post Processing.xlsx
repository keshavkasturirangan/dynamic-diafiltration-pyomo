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e588a783aebd4e/Documents/Jonathan Ouimet/University of Notre Dame/Research Projects/Diafiltration/Multicomponent/"/>
    </mc:Choice>
  </mc:AlternateContent>
  <xr:revisionPtr revIDLastSave="3" documentId="13_ncr:1_{CA70EDA3-C2FB-4480-B530-29F32F60327A}" xr6:coauthVersionLast="47" xr6:coauthVersionMax="47" xr10:uidLastSave="{369051A0-FF0B-4B23-92DC-DC5F3770EFA7}"/>
  <bookViews>
    <workbookView xWindow="-110" yWindow="-110" windowWidth="22620" windowHeight="13500" activeTab="1" xr2:uid="{06CA23B7-A4F1-4B42-B9D3-E148A46E55A2}"/>
  </bookViews>
  <sheets>
    <sheet name="Tables" sheetId="2" r:id="rId1"/>
    <sheet name="MixedSalt_Na,C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5" i="1" l="1"/>
  <c r="J14" i="1"/>
  <c r="J13" i="1"/>
  <c r="J12" i="1"/>
  <c r="J11" i="1"/>
  <c r="J10" i="1"/>
  <c r="J9" i="1"/>
  <c r="J8" i="1"/>
  <c r="J7" i="1"/>
  <c r="J6" i="1"/>
  <c r="J5" i="1"/>
  <c r="V98" i="1"/>
  <c r="U98" i="1"/>
  <c r="V97" i="1"/>
  <c r="U97" i="1"/>
  <c r="V96" i="1"/>
  <c r="U96" i="1"/>
  <c r="V95" i="1"/>
  <c r="U95" i="1"/>
  <c r="V94" i="1"/>
  <c r="U94" i="1"/>
  <c r="V93" i="1"/>
  <c r="U93" i="1"/>
  <c r="V92" i="1"/>
  <c r="U92" i="1"/>
  <c r="V91" i="1"/>
  <c r="U91" i="1"/>
  <c r="V90" i="1"/>
  <c r="U90" i="1"/>
  <c r="V89" i="1"/>
  <c r="U89" i="1"/>
  <c r="V84" i="1"/>
  <c r="U84" i="1"/>
  <c r="V83" i="1"/>
  <c r="U83" i="1"/>
  <c r="V82" i="1"/>
  <c r="U82" i="1"/>
  <c r="V81" i="1"/>
  <c r="U81" i="1"/>
  <c r="V80" i="1"/>
  <c r="U80" i="1"/>
  <c r="V79" i="1"/>
  <c r="U79" i="1"/>
  <c r="V78" i="1"/>
  <c r="U78" i="1"/>
  <c r="V77" i="1"/>
  <c r="U77" i="1"/>
  <c r="V76" i="1"/>
  <c r="U76" i="1"/>
  <c r="V75" i="1"/>
  <c r="U75" i="1"/>
  <c r="V70" i="1"/>
  <c r="U70" i="1"/>
  <c r="V69" i="1"/>
  <c r="U69" i="1"/>
  <c r="V68" i="1"/>
  <c r="U68" i="1"/>
  <c r="V67" i="1"/>
  <c r="U67" i="1"/>
  <c r="V66" i="1"/>
  <c r="U66" i="1"/>
  <c r="V65" i="1"/>
  <c r="U65" i="1"/>
  <c r="V64" i="1"/>
  <c r="U64" i="1"/>
  <c r="V63" i="1"/>
  <c r="U63" i="1"/>
  <c r="V62" i="1"/>
  <c r="U62" i="1"/>
  <c r="V61" i="1"/>
  <c r="U61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V33" i="1"/>
  <c r="U33" i="1"/>
  <c r="U20" i="1"/>
  <c r="U21" i="1"/>
  <c r="U22" i="1"/>
  <c r="U23" i="1"/>
  <c r="U24" i="1"/>
  <c r="U25" i="1"/>
  <c r="U26" i="1"/>
  <c r="U27" i="1"/>
  <c r="U28" i="1"/>
  <c r="U19" i="1"/>
  <c r="J98" i="1"/>
  <c r="J97" i="1"/>
  <c r="J96" i="1"/>
  <c r="J95" i="1"/>
  <c r="J94" i="1"/>
  <c r="J93" i="1"/>
  <c r="J92" i="1"/>
  <c r="J91" i="1"/>
  <c r="J90" i="1"/>
  <c r="J89" i="1"/>
  <c r="J84" i="1"/>
  <c r="J83" i="1"/>
  <c r="J82" i="1"/>
  <c r="J81" i="1"/>
  <c r="J80" i="1"/>
  <c r="J79" i="1"/>
  <c r="J78" i="1"/>
  <c r="J77" i="1"/>
  <c r="J76" i="1"/>
  <c r="J75" i="1"/>
  <c r="J70" i="1"/>
  <c r="J69" i="1"/>
  <c r="J68" i="1"/>
  <c r="J67" i="1"/>
  <c r="J66" i="1"/>
  <c r="J65" i="1"/>
  <c r="J64" i="1"/>
  <c r="J63" i="1"/>
  <c r="J62" i="1"/>
  <c r="J61" i="1"/>
  <c r="J56" i="1"/>
  <c r="J55" i="1"/>
  <c r="J54" i="1"/>
  <c r="J53" i="1"/>
  <c r="J52" i="1"/>
  <c r="J51" i="1"/>
  <c r="J50" i="1"/>
  <c r="J49" i="1"/>
  <c r="J48" i="1"/>
  <c r="J47" i="1"/>
  <c r="J42" i="1"/>
  <c r="J41" i="1"/>
  <c r="J40" i="1"/>
  <c r="J39" i="1"/>
  <c r="J38" i="1"/>
  <c r="J37" i="1"/>
  <c r="J36" i="1"/>
  <c r="J35" i="1"/>
  <c r="J34" i="1"/>
  <c r="J33" i="1"/>
  <c r="J20" i="1"/>
  <c r="J21" i="1"/>
  <c r="J22" i="1"/>
  <c r="J23" i="1"/>
  <c r="J24" i="1"/>
  <c r="J25" i="1"/>
  <c r="J26" i="1"/>
  <c r="J27" i="1"/>
  <c r="J28" i="1"/>
  <c r="J19" i="1"/>
  <c r="U6" i="1"/>
  <c r="U7" i="1"/>
  <c r="U8" i="1"/>
  <c r="U9" i="1"/>
  <c r="U10" i="1"/>
  <c r="U11" i="1"/>
  <c r="U12" i="1"/>
  <c r="U13" i="1"/>
  <c r="U14" i="1"/>
  <c r="U5" i="1"/>
  <c r="F8" i="1"/>
  <c r="S8" i="1" s="1"/>
  <c r="F9" i="1"/>
  <c r="S9" i="1" s="1"/>
  <c r="F10" i="1"/>
  <c r="S10" i="1" s="1"/>
  <c r="F11" i="1"/>
  <c r="S11" i="1" s="1"/>
  <c r="F12" i="1"/>
  <c r="S12" i="1" s="1"/>
  <c r="F13" i="1"/>
  <c r="S13" i="1" s="1"/>
  <c r="F14" i="1"/>
  <c r="S14" i="1" s="1"/>
  <c r="F7" i="1"/>
  <c r="S7" i="1" s="1"/>
  <c r="F98" i="1"/>
  <c r="E98" i="1"/>
  <c r="S98" i="1" s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84" i="1"/>
  <c r="E84" i="1"/>
  <c r="F83" i="1"/>
  <c r="E83" i="1"/>
  <c r="F82" i="1"/>
  <c r="E82" i="1"/>
  <c r="F81" i="1"/>
  <c r="E81" i="1"/>
  <c r="F80" i="1"/>
  <c r="E80" i="1"/>
  <c r="T80" i="1" s="1"/>
  <c r="F79" i="1"/>
  <c r="E79" i="1"/>
  <c r="F78" i="1"/>
  <c r="E78" i="1"/>
  <c r="F77" i="1"/>
  <c r="E77" i="1"/>
  <c r="F70" i="1"/>
  <c r="E70" i="1"/>
  <c r="F69" i="1"/>
  <c r="E69" i="1"/>
  <c r="F68" i="1"/>
  <c r="E68" i="1"/>
  <c r="F67" i="1"/>
  <c r="E67" i="1"/>
  <c r="F66" i="1"/>
  <c r="E66" i="1"/>
  <c r="S66" i="1" s="1"/>
  <c r="F65" i="1"/>
  <c r="E65" i="1"/>
  <c r="S65" i="1" s="1"/>
  <c r="F64" i="1"/>
  <c r="E64" i="1"/>
  <c r="T64" i="1" s="1"/>
  <c r="F63" i="1"/>
  <c r="E63" i="1"/>
  <c r="S23" i="1"/>
  <c r="S25" i="1"/>
  <c r="S26" i="1"/>
  <c r="S27" i="1"/>
  <c r="S28" i="1"/>
  <c r="S21" i="1"/>
  <c r="E28" i="1"/>
  <c r="E27" i="1"/>
  <c r="E26" i="1"/>
  <c r="E25" i="1"/>
  <c r="E24" i="1"/>
  <c r="S24" i="1" s="1"/>
  <c r="E23" i="1"/>
  <c r="E22" i="1"/>
  <c r="S22" i="1" s="1"/>
  <c r="E21" i="1"/>
  <c r="F56" i="1"/>
  <c r="E56" i="1"/>
  <c r="S56" i="1" s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35" i="1"/>
  <c r="F36" i="1"/>
  <c r="F37" i="1"/>
  <c r="F38" i="1"/>
  <c r="F39" i="1"/>
  <c r="F40" i="1"/>
  <c r="F41" i="1"/>
  <c r="F42" i="1"/>
  <c r="E35" i="1"/>
  <c r="E36" i="1"/>
  <c r="E37" i="1"/>
  <c r="E38" i="1"/>
  <c r="E39" i="1"/>
  <c r="E40" i="1"/>
  <c r="E41" i="1"/>
  <c r="E42" i="1"/>
  <c r="T56" i="1" l="1"/>
  <c r="T84" i="1"/>
  <c r="S91" i="1"/>
  <c r="S52" i="1"/>
  <c r="T54" i="1"/>
  <c r="S53" i="1"/>
  <c r="T55" i="1"/>
  <c r="S49" i="1"/>
  <c r="T51" i="1"/>
  <c r="S97" i="1"/>
  <c r="S93" i="1"/>
  <c r="T94" i="1"/>
  <c r="T81" i="1"/>
  <c r="T78" i="1"/>
  <c r="T77" i="1"/>
  <c r="T83" i="1"/>
  <c r="T82" i="1"/>
  <c r="T79" i="1"/>
  <c r="S67" i="1"/>
  <c r="T69" i="1"/>
  <c r="T53" i="1"/>
  <c r="T52" i="1"/>
  <c r="T38" i="1"/>
  <c r="S41" i="1"/>
  <c r="S40" i="1"/>
  <c r="S39" i="1"/>
  <c r="S42" i="1"/>
  <c r="T35" i="1"/>
  <c r="T36" i="1"/>
  <c r="S70" i="1"/>
  <c r="T68" i="1"/>
  <c r="S81" i="1"/>
  <c r="T95" i="1"/>
  <c r="T92" i="1"/>
  <c r="S95" i="1"/>
  <c r="T97" i="1"/>
  <c r="S92" i="1"/>
  <c r="S83" i="1"/>
  <c r="S78" i="1"/>
  <c r="T63" i="1"/>
  <c r="T70" i="1"/>
  <c r="T65" i="1"/>
  <c r="S68" i="1"/>
  <c r="S63" i="1"/>
  <c r="T93" i="1"/>
  <c r="T91" i="1"/>
  <c r="S94" i="1"/>
  <c r="T98" i="1"/>
  <c r="S96" i="1"/>
  <c r="T96" i="1"/>
  <c r="S77" i="1"/>
  <c r="S82" i="1"/>
  <c r="S84" i="1"/>
  <c r="S79" i="1"/>
  <c r="S80" i="1"/>
  <c r="T66" i="1"/>
  <c r="T67" i="1"/>
  <c r="S64" i="1"/>
  <c r="S69" i="1"/>
  <c r="T42" i="1"/>
  <c r="T40" i="1"/>
  <c r="S36" i="1"/>
  <c r="T41" i="1"/>
  <c r="S37" i="1"/>
  <c r="T39" i="1"/>
  <c r="S38" i="1"/>
  <c r="S50" i="1"/>
  <c r="T37" i="1"/>
  <c r="S51" i="1"/>
  <c r="T49" i="1"/>
  <c r="S54" i="1"/>
  <c r="S55" i="1"/>
  <c r="T50" i="1"/>
</calcChain>
</file>

<file path=xl/sharedStrings.xml><?xml version="1.0" encoding="utf-8"?>
<sst xmlns="http://schemas.openxmlformats.org/spreadsheetml/2006/main" count="215" uniqueCount="31">
  <si>
    <t>E1</t>
  </si>
  <si>
    <t xml:space="preserve">[NaCl] </t>
  </si>
  <si>
    <t>[CaCl2]</t>
  </si>
  <si>
    <t>Jw Vial</t>
  </si>
  <si>
    <t>%R</t>
  </si>
  <si>
    <t>B (um/s)</t>
  </si>
  <si>
    <t>Ionic Strength</t>
  </si>
  <si>
    <t>[Na]:[Ca] Ratio</t>
  </si>
  <si>
    <t>Calculated Stirred Cell</t>
  </si>
  <si>
    <t>Measured Permeate Vial</t>
  </si>
  <si>
    <t>* End of 1st vial</t>
  </si>
  <si>
    <t>* End of 10th vial</t>
  </si>
  <si>
    <t xml:space="preserve">Correlated to Vial </t>
  </si>
  <si>
    <t>Vial</t>
  </si>
  <si>
    <t>E2</t>
  </si>
  <si>
    <t>NaCl</t>
  </si>
  <si>
    <t>N/A</t>
  </si>
  <si>
    <t>*10 is used to plot in matlab</t>
  </si>
  <si>
    <t>E5</t>
  </si>
  <si>
    <t>E4</t>
  </si>
  <si>
    <t>E3</t>
  </si>
  <si>
    <t>Js = Jw*cp</t>
  </si>
  <si>
    <t>[NaCl]</t>
  </si>
  <si>
    <t>Feed [mM]</t>
  </si>
  <si>
    <r>
      <t>[CaCl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</t>
    </r>
  </si>
  <si>
    <t>Diafiltrate [mM]</t>
  </si>
  <si>
    <r>
      <t>CaCl</t>
    </r>
    <r>
      <rPr>
        <vertAlign val="subscript"/>
        <sz val="11"/>
        <color theme="1"/>
        <rFont val="Aptos Narrow"/>
        <family val="2"/>
        <scheme val="minor"/>
      </rPr>
      <t>2</t>
    </r>
  </si>
  <si>
    <t>-</t>
  </si>
  <si>
    <t>CaCl2</t>
  </si>
  <si>
    <t>m3/m2/s</t>
  </si>
  <si>
    <t>L/m2/hr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</si>
</sst>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quotePrefix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6EBD-94CA-42E4-8B0D-FF7CF6B38ECE}">
  <dimension ref="B2:G10"/>
  <sheetViews>
    <sheetView showGridLines="0" workbookViewId="0">
      <selection activeCell="H11" sqref="H11"/>
    </sheetView>
  </sheetViews>
  <sheetFormatPr defaultRowHeight="14.5" x14ac:dyDescent="0.35"/>
  <cols>
    <col min="2" max="2" width="6.6328125" style="4" customWidth="1"/>
    <col min="3" max="4" width="6.6328125" style="5" customWidth="1"/>
    <col min="5" max="5" width="3.26953125" style="5" customWidth="1"/>
    <col min="6" max="7" width="6.81640625" style="5" customWidth="1"/>
  </cols>
  <sheetData>
    <row r="2" spans="2:7" x14ac:dyDescent="0.35">
      <c r="C2" s="20" t="s">
        <v>23</v>
      </c>
      <c r="D2" s="21"/>
      <c r="F2" s="21" t="s">
        <v>25</v>
      </c>
      <c r="G2" s="21"/>
    </row>
    <row r="3" spans="2:7" ht="17" thickBot="1" x14ac:dyDescent="0.5">
      <c r="B3" s="6"/>
      <c r="C3" s="7" t="s">
        <v>22</v>
      </c>
      <c r="D3" s="15" t="s">
        <v>24</v>
      </c>
      <c r="E3" s="15"/>
      <c r="F3" s="15" t="s">
        <v>22</v>
      </c>
      <c r="G3" s="15" t="s">
        <v>24</v>
      </c>
    </row>
    <row r="4" spans="2:7" x14ac:dyDescent="0.35">
      <c r="B4" s="10" t="s">
        <v>15</v>
      </c>
      <c r="C4" s="11">
        <v>1</v>
      </c>
      <c r="D4" s="16" t="s">
        <v>27</v>
      </c>
      <c r="E4" s="16"/>
      <c r="F4" s="19">
        <v>50</v>
      </c>
      <c r="G4" s="16" t="s">
        <v>27</v>
      </c>
    </row>
    <row r="5" spans="2:7" ht="16.5" x14ac:dyDescent="0.45">
      <c r="B5" s="8" t="s">
        <v>26</v>
      </c>
      <c r="C5" s="9" t="s">
        <v>27</v>
      </c>
      <c r="D5" s="8">
        <v>1</v>
      </c>
      <c r="E5" s="8"/>
      <c r="F5" s="17" t="s">
        <v>27</v>
      </c>
      <c r="G5" s="18">
        <v>50</v>
      </c>
    </row>
    <row r="6" spans="2:7" x14ac:dyDescent="0.35">
      <c r="B6" s="12" t="s">
        <v>0</v>
      </c>
      <c r="C6" s="13" t="s">
        <v>27</v>
      </c>
      <c r="D6" s="17">
        <v>10</v>
      </c>
      <c r="E6" s="17"/>
      <c r="F6" s="18">
        <v>50</v>
      </c>
      <c r="G6" s="18">
        <v>4</v>
      </c>
    </row>
    <row r="7" spans="2:7" x14ac:dyDescent="0.35">
      <c r="B7" s="12" t="s">
        <v>14</v>
      </c>
      <c r="C7" s="13" t="s">
        <v>27</v>
      </c>
      <c r="D7" s="17">
        <v>20</v>
      </c>
      <c r="E7" s="17"/>
      <c r="F7" s="18">
        <v>50</v>
      </c>
      <c r="G7" s="18">
        <v>8</v>
      </c>
    </row>
    <row r="8" spans="2:7" x14ac:dyDescent="0.35">
      <c r="B8" s="12" t="s">
        <v>20</v>
      </c>
      <c r="C8" s="14">
        <v>10</v>
      </c>
      <c r="D8" s="17" t="s">
        <v>27</v>
      </c>
      <c r="E8" s="17"/>
      <c r="F8" s="18">
        <v>5</v>
      </c>
      <c r="G8" s="18">
        <v>50</v>
      </c>
    </row>
    <row r="9" spans="2:7" x14ac:dyDescent="0.35">
      <c r="B9" s="12" t="s">
        <v>19</v>
      </c>
      <c r="C9" s="14">
        <v>20</v>
      </c>
      <c r="D9" s="17" t="s">
        <v>27</v>
      </c>
      <c r="E9" s="17"/>
      <c r="F9" s="18">
        <v>10</v>
      </c>
      <c r="G9" s="18">
        <v>50</v>
      </c>
    </row>
    <row r="10" spans="2:7" x14ac:dyDescent="0.35">
      <c r="B10" s="12" t="s">
        <v>18</v>
      </c>
      <c r="C10" s="14">
        <v>10</v>
      </c>
      <c r="D10" s="18">
        <v>1</v>
      </c>
      <c r="E10" s="18"/>
      <c r="F10" s="18">
        <v>50</v>
      </c>
      <c r="G10" s="18">
        <v>50</v>
      </c>
    </row>
  </sheetData>
  <mergeCells count="2">
    <mergeCell ref="C2:D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1356-4213-4BF1-92C6-98F0696C08F9}">
  <dimension ref="A2:Y98"/>
  <sheetViews>
    <sheetView tabSelected="1" zoomScale="90" zoomScaleNormal="90" workbookViewId="0">
      <selection activeCell="F20" sqref="F20"/>
    </sheetView>
  </sheetViews>
  <sheetFormatPr defaultRowHeight="14.5" x14ac:dyDescent="0.35"/>
  <cols>
    <col min="1" max="1" width="14.6328125" customWidth="1"/>
    <col min="5" max="6" width="8.7265625" style="2"/>
    <col min="14" max="14" width="9.54296875" style="2" customWidth="1"/>
    <col min="15" max="20" width="8.7265625" style="2"/>
    <col min="24" max="24" width="9.54296875" style="2" customWidth="1"/>
    <col min="25" max="25" width="8.7265625" style="2"/>
  </cols>
  <sheetData>
    <row r="2" spans="1:25" x14ac:dyDescent="0.35">
      <c r="B2" t="s">
        <v>28</v>
      </c>
    </row>
    <row r="3" spans="1:25" x14ac:dyDescent="0.35">
      <c r="B3" t="s">
        <v>8</v>
      </c>
      <c r="E3" s="2" t="s">
        <v>12</v>
      </c>
      <c r="H3" t="s">
        <v>13</v>
      </c>
      <c r="I3" t="s">
        <v>3</v>
      </c>
      <c r="K3" t="s">
        <v>9</v>
      </c>
      <c r="N3" s="2" t="s">
        <v>4</v>
      </c>
      <c r="P3" s="2" t="s">
        <v>5</v>
      </c>
      <c r="S3" s="2" t="s">
        <v>6</v>
      </c>
      <c r="T3" s="2" t="s">
        <v>7</v>
      </c>
      <c r="U3" s="2" t="s">
        <v>21</v>
      </c>
    </row>
    <row r="4" spans="1:25" x14ac:dyDescent="0.35">
      <c r="B4" t="s">
        <v>1</v>
      </c>
      <c r="C4" t="s">
        <v>2</v>
      </c>
      <c r="E4" s="2" t="s">
        <v>1</v>
      </c>
      <c r="F4" s="2" t="s">
        <v>2</v>
      </c>
      <c r="I4" t="s">
        <v>29</v>
      </c>
      <c r="J4" t="s">
        <v>30</v>
      </c>
      <c r="K4" t="s">
        <v>1</v>
      </c>
      <c r="L4" t="s">
        <v>2</v>
      </c>
      <c r="N4" s="2" t="s">
        <v>1</v>
      </c>
      <c r="O4" s="2" t="s">
        <v>2</v>
      </c>
      <c r="P4" s="2" t="s">
        <v>1</v>
      </c>
      <c r="Q4" s="2" t="s">
        <v>2</v>
      </c>
    </row>
    <row r="5" spans="1:25" x14ac:dyDescent="0.35">
      <c r="A5" t="s">
        <v>10</v>
      </c>
      <c r="C5">
        <v>9.1587298155828503</v>
      </c>
      <c r="H5">
        <v>1</v>
      </c>
      <c r="I5" s="1">
        <v>8.3020265217049197E-6</v>
      </c>
      <c r="J5" s="1">
        <f>I5*1000*3600</f>
        <v>29.887295478137709</v>
      </c>
      <c r="L5">
        <v>8.2302777993281007E-2</v>
      </c>
      <c r="N5" s="3"/>
      <c r="O5" s="3"/>
      <c r="U5" s="1">
        <f>L5*I5</f>
        <v>6.832798457102109E-7</v>
      </c>
      <c r="X5" s="3"/>
      <c r="Y5" s="3"/>
    </row>
    <row r="6" spans="1:25" x14ac:dyDescent="0.35">
      <c r="C6">
        <v>14.386227327962001</v>
      </c>
      <c r="H6">
        <v>2</v>
      </c>
      <c r="I6" s="1">
        <v>7.9010540106283395E-6</v>
      </c>
      <c r="J6" s="1">
        <f t="shared" ref="J6:J14" si="0">I6*1000*3600</f>
        <v>28.443794438262021</v>
      </c>
      <c r="L6">
        <v>2.1918925173597699</v>
      </c>
      <c r="N6" s="3"/>
      <c r="O6" s="3"/>
      <c r="U6" s="1">
        <f t="shared" ref="U6:U14" si="1">L6*I6</f>
        <v>1.7318261165151658E-5</v>
      </c>
      <c r="X6" s="3"/>
      <c r="Y6" s="3"/>
    </row>
    <row r="7" spans="1:25" x14ac:dyDescent="0.35">
      <c r="C7">
        <v>19.232869575052199</v>
      </c>
      <c r="F7" s="2">
        <f>(C6+C5)/2</f>
        <v>11.772478571772425</v>
      </c>
      <c r="H7">
        <v>3</v>
      </c>
      <c r="I7" s="1">
        <v>7.4859379583419104E-6</v>
      </c>
      <c r="J7" s="1">
        <f t="shared" si="0"/>
        <v>26.949376650030874</v>
      </c>
      <c r="L7">
        <v>4.9523149982420698</v>
      </c>
      <c r="N7" s="3"/>
      <c r="O7" s="3"/>
      <c r="S7" s="2">
        <f>F7</f>
        <v>11.772478571772425</v>
      </c>
      <c r="U7" s="1">
        <f t="shared" si="1"/>
        <v>3.7072722827006265E-5</v>
      </c>
      <c r="X7" s="3"/>
      <c r="Y7" s="3"/>
    </row>
    <row r="8" spans="1:25" x14ac:dyDescent="0.35">
      <c r="C8">
        <v>23.730200486432501</v>
      </c>
      <c r="F8" s="2">
        <f t="shared" ref="F8:F14" si="2">(C7+C6)/2</f>
        <v>16.809548451507098</v>
      </c>
      <c r="H8">
        <v>4</v>
      </c>
      <c r="I8" s="1">
        <v>7.0884412486755701E-6</v>
      </c>
      <c r="J8" s="1">
        <f t="shared" si="0"/>
        <v>25.518388495232053</v>
      </c>
      <c r="L8">
        <v>8.1698563973618707</v>
      </c>
      <c r="N8" s="3"/>
      <c r="O8" s="3"/>
      <c r="S8" s="2">
        <f t="shared" ref="S8:S14" si="3">F8</f>
        <v>16.809548451507098</v>
      </c>
      <c r="U8" s="1">
        <f t="shared" si="1"/>
        <v>5.7911547082815873E-5</v>
      </c>
      <c r="X8" s="3"/>
      <c r="Y8" s="3"/>
    </row>
    <row r="9" spans="1:25" x14ac:dyDescent="0.35">
      <c r="C9">
        <v>27.910313109023701</v>
      </c>
      <c r="F9" s="2">
        <f t="shared" si="2"/>
        <v>21.48153503074235</v>
      </c>
      <c r="H9">
        <v>5</v>
      </c>
      <c r="I9" s="1">
        <v>6.71728673260841E-6</v>
      </c>
      <c r="J9" s="1">
        <f t="shared" si="0"/>
        <v>24.182232237390277</v>
      </c>
      <c r="L9">
        <v>10.859750749571599</v>
      </c>
      <c r="N9" s="3"/>
      <c r="O9" s="3"/>
      <c r="S9" s="2">
        <f t="shared" si="3"/>
        <v>21.48153503074235</v>
      </c>
      <c r="U9" s="1">
        <f t="shared" si="1"/>
        <v>7.2948059629531544E-5</v>
      </c>
      <c r="X9" s="3"/>
      <c r="Y9" s="3"/>
    </row>
    <row r="10" spans="1:25" x14ac:dyDescent="0.35">
      <c r="C10">
        <v>31.644998913790801</v>
      </c>
      <c r="F10" s="2">
        <f t="shared" si="2"/>
        <v>25.820256797728099</v>
      </c>
      <c r="H10">
        <v>6</v>
      </c>
      <c r="I10" s="1">
        <v>6.3909011015935301E-6</v>
      </c>
      <c r="J10" s="1">
        <f t="shared" si="0"/>
        <v>23.007243965736709</v>
      </c>
      <c r="L10">
        <v>14.256541354059101</v>
      </c>
      <c r="N10" s="3"/>
      <c r="O10" s="3"/>
      <c r="S10" s="2">
        <f t="shared" si="3"/>
        <v>25.820256797728099</v>
      </c>
      <c r="U10" s="1">
        <f t="shared" si="1"/>
        <v>9.1112145844570027E-5</v>
      </c>
      <c r="X10" s="3"/>
      <c r="Y10" s="3"/>
    </row>
    <row r="11" spans="1:25" x14ac:dyDescent="0.35">
      <c r="C11">
        <v>35.319078928430898</v>
      </c>
      <c r="F11" s="2">
        <f t="shared" si="2"/>
        <v>29.777656011407252</v>
      </c>
      <c r="H11">
        <v>7</v>
      </c>
      <c r="I11" s="1">
        <v>6.1010561723059099E-6</v>
      </c>
      <c r="J11" s="1">
        <f t="shared" si="0"/>
        <v>21.963802220301275</v>
      </c>
      <c r="L11">
        <v>16.522829974859</v>
      </c>
      <c r="N11" s="3"/>
      <c r="O11" s="3"/>
      <c r="S11" s="2">
        <f t="shared" si="3"/>
        <v>29.777656011407252</v>
      </c>
      <c r="U11" s="1">
        <f t="shared" si="1"/>
        <v>1.008067138020746E-4</v>
      </c>
      <c r="X11" s="3"/>
      <c r="Y11" s="3"/>
    </row>
    <row r="12" spans="1:25" x14ac:dyDescent="0.35">
      <c r="C12">
        <v>38.683174356132398</v>
      </c>
      <c r="F12" s="2">
        <f t="shared" si="2"/>
        <v>33.482038921110849</v>
      </c>
      <c r="H12">
        <v>8</v>
      </c>
      <c r="I12" s="1">
        <v>5.8603100911680597E-6</v>
      </c>
      <c r="J12" s="1">
        <f t="shared" si="0"/>
        <v>21.097116328205015</v>
      </c>
      <c r="L12">
        <v>19.0779811106128</v>
      </c>
      <c r="N12" s="3"/>
      <c r="O12" s="3"/>
      <c r="S12" s="2">
        <f t="shared" si="3"/>
        <v>33.482038921110849</v>
      </c>
      <c r="U12" s="1">
        <f t="shared" si="1"/>
        <v>1.1180288522163782E-4</v>
      </c>
      <c r="X12" s="3"/>
      <c r="Y12" s="3"/>
    </row>
    <row r="13" spans="1:25" x14ac:dyDescent="0.35">
      <c r="C13">
        <v>41.754741036150897</v>
      </c>
      <c r="F13" s="2">
        <f t="shared" si="2"/>
        <v>37.001126642281648</v>
      </c>
      <c r="H13">
        <v>9</v>
      </c>
      <c r="I13" s="1">
        <v>5.6838539356234597E-6</v>
      </c>
      <c r="J13" s="1">
        <f t="shared" si="0"/>
        <v>20.461874168244456</v>
      </c>
      <c r="L13">
        <v>21.573516658252402</v>
      </c>
      <c r="N13" s="3"/>
      <c r="O13" s="3"/>
      <c r="S13" s="2">
        <f t="shared" si="3"/>
        <v>37.001126642281648</v>
      </c>
      <c r="U13" s="1">
        <f t="shared" si="1"/>
        <v>1.2262071756324617E-4</v>
      </c>
      <c r="X13" s="3"/>
      <c r="Y13" s="3"/>
    </row>
    <row r="14" spans="1:25" x14ac:dyDescent="0.35">
      <c r="A14" t="s">
        <v>11</v>
      </c>
      <c r="C14">
        <v>44.576186762226499</v>
      </c>
      <c r="F14" s="2">
        <f t="shared" si="2"/>
        <v>40.218957696141644</v>
      </c>
      <c r="H14">
        <v>10</v>
      </c>
      <c r="I14" s="1">
        <v>5.5761998637217899E-6</v>
      </c>
      <c r="J14" s="1">
        <f t="shared" si="0"/>
        <v>20.074319509398443</v>
      </c>
      <c r="L14">
        <v>23.298151377853898</v>
      </c>
      <c r="N14" s="3"/>
      <c r="O14" s="3"/>
      <c r="S14" s="2">
        <f t="shared" si="3"/>
        <v>40.218957696141644</v>
      </c>
      <c r="U14" s="1">
        <f t="shared" si="1"/>
        <v>1.2991514853815853E-4</v>
      </c>
      <c r="X14" s="3"/>
      <c r="Y14" s="3"/>
    </row>
    <row r="16" spans="1:25" x14ac:dyDescent="0.35">
      <c r="B16" t="s">
        <v>15</v>
      </c>
    </row>
    <row r="17" spans="1:25" x14ac:dyDescent="0.35">
      <c r="B17" t="s">
        <v>8</v>
      </c>
      <c r="E17" s="2" t="s">
        <v>12</v>
      </c>
      <c r="H17" t="s">
        <v>13</v>
      </c>
      <c r="I17" t="s">
        <v>3</v>
      </c>
      <c r="K17" t="s">
        <v>9</v>
      </c>
      <c r="N17" s="2" t="s">
        <v>4</v>
      </c>
      <c r="P17" s="2" t="s">
        <v>5</v>
      </c>
      <c r="S17" s="2" t="s">
        <v>6</v>
      </c>
      <c r="T17" s="2" t="s">
        <v>7</v>
      </c>
      <c r="U17" s="2" t="s">
        <v>21</v>
      </c>
    </row>
    <row r="18" spans="1:25" x14ac:dyDescent="0.35">
      <c r="B18" t="s">
        <v>1</v>
      </c>
      <c r="C18" t="s">
        <v>2</v>
      </c>
      <c r="E18" s="2" t="s">
        <v>1</v>
      </c>
      <c r="F18" s="2" t="s">
        <v>2</v>
      </c>
      <c r="I18" t="s">
        <v>29</v>
      </c>
      <c r="J18" t="s">
        <v>30</v>
      </c>
      <c r="K18" t="s">
        <v>1</v>
      </c>
      <c r="L18" t="s">
        <v>2</v>
      </c>
      <c r="N18" s="2" t="s">
        <v>1</v>
      </c>
      <c r="O18" s="2" t="s">
        <v>2</v>
      </c>
      <c r="P18" s="2" t="s">
        <v>1</v>
      </c>
      <c r="Q18" s="2" t="s">
        <v>2</v>
      </c>
    </row>
    <row r="19" spans="1:25" x14ac:dyDescent="0.35">
      <c r="A19" t="s">
        <v>10</v>
      </c>
      <c r="B19">
        <v>8.4891351224502891</v>
      </c>
      <c r="H19">
        <v>1</v>
      </c>
      <c r="I19" s="1">
        <v>9.7048231004058001E-6</v>
      </c>
      <c r="J19" s="1">
        <f>I19*1000*3600</f>
        <v>34.93736316146088</v>
      </c>
      <c r="K19">
        <v>2.1203545673111002</v>
      </c>
      <c r="N19" s="3"/>
      <c r="O19" s="3"/>
      <c r="U19" s="1">
        <f>K19*J19</f>
        <v>74.079597549210149</v>
      </c>
      <c r="X19" s="3"/>
      <c r="Y19" s="3"/>
    </row>
    <row r="20" spans="1:25" x14ac:dyDescent="0.35">
      <c r="B20">
        <v>12.901826465268501</v>
      </c>
      <c r="H20">
        <v>2</v>
      </c>
      <c r="I20" s="1">
        <v>9.3341408937377904E-6</v>
      </c>
      <c r="J20" s="1">
        <f t="shared" ref="J20:J28" si="4">I20*1000*3600</f>
        <v>33.602907217456043</v>
      </c>
      <c r="K20">
        <v>3.32656467535024</v>
      </c>
      <c r="N20" s="3"/>
      <c r="O20" s="3"/>
      <c r="T20" s="2" t="s">
        <v>17</v>
      </c>
      <c r="U20" s="1">
        <f t="shared" ref="U20:U28" si="5">K20*J20</f>
        <v>111.7822441386609</v>
      </c>
      <c r="X20" s="3"/>
      <c r="Y20" s="3"/>
    </row>
    <row r="21" spans="1:25" x14ac:dyDescent="0.35">
      <c r="B21">
        <v>17.070117019152001</v>
      </c>
      <c r="E21" s="2">
        <f>(B20+B19)/2</f>
        <v>10.695480793859396</v>
      </c>
      <c r="F21" s="2" t="s">
        <v>16</v>
      </c>
      <c r="H21">
        <v>3</v>
      </c>
      <c r="I21" s="1">
        <v>8.9527552251762707E-6</v>
      </c>
      <c r="J21" s="1">
        <f t="shared" si="4"/>
        <v>32.22991881063458</v>
      </c>
      <c r="K21">
        <v>5.3329000874425798</v>
      </c>
      <c r="N21" s="3">
        <v>0.50138753084346033</v>
      </c>
      <c r="O21" s="3" t="s">
        <v>16</v>
      </c>
      <c r="P21" s="2">
        <v>8.9032038372987721</v>
      </c>
      <c r="Q21" s="2" t="s">
        <v>16</v>
      </c>
      <c r="S21" s="2">
        <f>E21</f>
        <v>10.695480793859396</v>
      </c>
      <c r="T21" s="2">
        <v>10</v>
      </c>
      <c r="U21" s="1">
        <f t="shared" si="5"/>
        <v>171.87893684350038</v>
      </c>
      <c r="X21" s="3"/>
      <c r="Y21" s="3"/>
    </row>
    <row r="22" spans="1:25" x14ac:dyDescent="0.35">
      <c r="B22">
        <v>21.023358210539701</v>
      </c>
      <c r="E22" s="2">
        <f t="shared" ref="E22:E28" si="6">(B21+B20)/2</f>
        <v>14.98597174221025</v>
      </c>
      <c r="F22" s="2" t="s">
        <v>16</v>
      </c>
      <c r="H22">
        <v>4</v>
      </c>
      <c r="I22" s="1">
        <v>8.5924100118404601E-6</v>
      </c>
      <c r="J22" s="1">
        <f t="shared" si="4"/>
        <v>30.932676042625658</v>
      </c>
      <c r="K22">
        <v>7.6779485329988697</v>
      </c>
      <c r="N22" s="3">
        <v>0.48765761306136923</v>
      </c>
      <c r="O22" s="3" t="s">
        <v>16</v>
      </c>
      <c r="P22" s="2">
        <v>9.0273497985311426</v>
      </c>
      <c r="Q22" s="2" t="s">
        <v>16</v>
      </c>
      <c r="S22" s="2">
        <f t="shared" ref="S22:S28" si="7">E22</f>
        <v>14.98597174221025</v>
      </c>
      <c r="T22" s="2">
        <v>10</v>
      </c>
      <c r="U22" s="1">
        <f t="shared" si="5"/>
        <v>237.49949464320696</v>
      </c>
      <c r="X22" s="3"/>
      <c r="Y22" s="3"/>
    </row>
    <row r="23" spans="1:25" x14ac:dyDescent="0.35">
      <c r="B23">
        <v>24.7210805533329</v>
      </c>
      <c r="E23" s="2">
        <f t="shared" si="6"/>
        <v>19.046737614845853</v>
      </c>
      <c r="F23" s="2" t="s">
        <v>16</v>
      </c>
      <c r="H23">
        <v>5</v>
      </c>
      <c r="I23" s="1">
        <v>8.2754142850435498E-6</v>
      </c>
      <c r="J23" s="1">
        <f t="shared" si="4"/>
        <v>29.791491426156778</v>
      </c>
      <c r="K23">
        <v>10.2142858961094</v>
      </c>
      <c r="N23" s="3">
        <v>0.4637251742183951</v>
      </c>
      <c r="O23" s="3" t="s">
        <v>16</v>
      </c>
      <c r="P23" s="2">
        <v>9.5701001384330091</v>
      </c>
      <c r="Q23" s="2" t="s">
        <v>16</v>
      </c>
      <c r="S23" s="2">
        <f t="shared" si="7"/>
        <v>19.046737614845853</v>
      </c>
      <c r="T23" s="2">
        <v>10</v>
      </c>
      <c r="U23" s="1">
        <f t="shared" si="5"/>
        <v>304.29881069825728</v>
      </c>
      <c r="X23" s="3"/>
      <c r="Y23" s="3"/>
    </row>
    <row r="24" spans="1:25" x14ac:dyDescent="0.35">
      <c r="B24">
        <v>28.187685258432001</v>
      </c>
      <c r="E24" s="2">
        <f t="shared" si="6"/>
        <v>22.872219381936301</v>
      </c>
      <c r="F24" s="2" t="s">
        <v>16</v>
      </c>
      <c r="H24">
        <v>6</v>
      </c>
      <c r="I24" s="1">
        <v>7.9980926040302996E-6</v>
      </c>
      <c r="J24" s="1">
        <f t="shared" si="4"/>
        <v>28.793133374509079</v>
      </c>
      <c r="K24">
        <v>13.062428232860899</v>
      </c>
      <c r="N24" s="3">
        <v>0.42889546419893299</v>
      </c>
      <c r="O24" s="3" t="s">
        <v>16</v>
      </c>
      <c r="P24" s="2">
        <v>10.650023945695146</v>
      </c>
      <c r="Q24" s="2" t="s">
        <v>16</v>
      </c>
      <c r="S24" s="2">
        <f t="shared" si="7"/>
        <v>22.872219381936301</v>
      </c>
      <c r="T24" s="2">
        <v>10</v>
      </c>
      <c r="U24" s="1">
        <f t="shared" si="5"/>
        <v>376.1082383037168</v>
      </c>
      <c r="X24" s="3"/>
      <c r="Y24" s="3"/>
    </row>
    <row r="25" spans="1:25" x14ac:dyDescent="0.35">
      <c r="B25">
        <v>31.4103448632602</v>
      </c>
      <c r="E25" s="2">
        <f t="shared" si="6"/>
        <v>26.454382905882451</v>
      </c>
      <c r="F25" s="2" t="s">
        <v>16</v>
      </c>
      <c r="H25">
        <v>7</v>
      </c>
      <c r="I25" s="1">
        <v>7.7633415395346708E-6</v>
      </c>
      <c r="J25" s="1">
        <f t="shared" si="4"/>
        <v>27.948029542324814</v>
      </c>
      <c r="K25">
        <v>15.108583722883299</v>
      </c>
      <c r="N25" s="3">
        <v>0.4288816421598054</v>
      </c>
      <c r="O25" s="3" t="s">
        <v>16</v>
      </c>
      <c r="P25" s="2">
        <v>10.338019713512329</v>
      </c>
      <c r="Q25" s="2" t="s">
        <v>16</v>
      </c>
      <c r="S25" s="2">
        <f t="shared" si="7"/>
        <v>26.454382905882451</v>
      </c>
      <c r="T25" s="2">
        <v>10</v>
      </c>
      <c r="U25" s="1">
        <f t="shared" si="5"/>
        <v>422.25514422983025</v>
      </c>
      <c r="X25" s="3"/>
      <c r="Y25" s="3"/>
    </row>
    <row r="26" spans="1:25" x14ac:dyDescent="0.35">
      <c r="B26">
        <v>34.376339616432297</v>
      </c>
      <c r="E26" s="2">
        <f t="shared" si="6"/>
        <v>29.799015060846102</v>
      </c>
      <c r="F26" s="2" t="s">
        <v>16</v>
      </c>
      <c r="H26">
        <v>8</v>
      </c>
      <c r="I26" s="1">
        <v>7.5806572820108801E-6</v>
      </c>
      <c r="J26" s="1">
        <f t="shared" si="4"/>
        <v>27.290366215239168</v>
      </c>
      <c r="K26">
        <v>17.1761333457126</v>
      </c>
      <c r="N26" s="3">
        <v>0.42360063543573689</v>
      </c>
      <c r="O26" s="3" t="s">
        <v>16</v>
      </c>
      <c r="P26" s="2">
        <v>10.315107378995908</v>
      </c>
      <c r="Q26" s="2" t="s">
        <v>16</v>
      </c>
      <c r="S26" s="2">
        <f t="shared" si="7"/>
        <v>29.799015060846102</v>
      </c>
      <c r="T26" s="2">
        <v>10</v>
      </c>
      <c r="U26" s="1">
        <f t="shared" si="5"/>
        <v>468.74296916627804</v>
      </c>
      <c r="X26" s="3"/>
      <c r="Y26" s="3"/>
    </row>
    <row r="27" spans="1:25" x14ac:dyDescent="0.35">
      <c r="B27">
        <v>37.1943651973017</v>
      </c>
      <c r="E27" s="2">
        <f t="shared" si="6"/>
        <v>32.893342239846248</v>
      </c>
      <c r="F27" s="2" t="s">
        <v>16</v>
      </c>
      <c r="H27">
        <v>9</v>
      </c>
      <c r="I27" s="1">
        <v>7.45296156850324E-6</v>
      </c>
      <c r="J27" s="1">
        <f t="shared" si="4"/>
        <v>26.830661646611667</v>
      </c>
      <c r="K27">
        <v>19.633614391798002</v>
      </c>
      <c r="N27" s="3">
        <v>0.40311281691483791</v>
      </c>
      <c r="O27" s="3" t="s">
        <v>16</v>
      </c>
      <c r="P27" s="2">
        <v>11.035563865997545</v>
      </c>
      <c r="Q27" s="2" t="s">
        <v>16</v>
      </c>
      <c r="S27" s="2">
        <f t="shared" si="7"/>
        <v>32.893342239846248</v>
      </c>
      <c r="T27" s="2">
        <v>10</v>
      </c>
      <c r="U27" s="1">
        <f t="shared" si="5"/>
        <v>526.78286464637745</v>
      </c>
      <c r="X27" s="3"/>
      <c r="Y27" s="3"/>
    </row>
    <row r="28" spans="1:25" x14ac:dyDescent="0.35">
      <c r="A28" t="s">
        <v>11</v>
      </c>
      <c r="B28">
        <v>40.917055100251602</v>
      </c>
      <c r="E28" s="2">
        <f t="shared" si="6"/>
        <v>35.785352406866998</v>
      </c>
      <c r="F28" s="2" t="s">
        <v>16</v>
      </c>
      <c r="H28">
        <v>10</v>
      </c>
      <c r="I28" s="1">
        <v>7.3857837137086E-6</v>
      </c>
      <c r="J28" s="1">
        <f t="shared" si="4"/>
        <v>26.58882136935096</v>
      </c>
      <c r="K28">
        <v>22.021544403559101</v>
      </c>
      <c r="N28" s="3">
        <v>0.38462127875165775</v>
      </c>
      <c r="O28" s="3" t="s">
        <v>16</v>
      </c>
      <c r="P28" s="2">
        <v>11.816959664609408</v>
      </c>
      <c r="Q28" s="2" t="s">
        <v>16</v>
      </c>
      <c r="S28" s="2">
        <f t="shared" si="7"/>
        <v>35.785352406866998</v>
      </c>
      <c r="T28" s="2">
        <v>10</v>
      </c>
      <c r="U28" s="1">
        <f t="shared" si="5"/>
        <v>585.52691042346328</v>
      </c>
      <c r="X28" s="3"/>
      <c r="Y28" s="3"/>
    </row>
    <row r="30" spans="1:25" x14ac:dyDescent="0.35">
      <c r="B30" t="s">
        <v>0</v>
      </c>
      <c r="U30" t="s">
        <v>15</v>
      </c>
      <c r="V30" t="s">
        <v>28</v>
      </c>
    </row>
    <row r="31" spans="1:25" x14ac:dyDescent="0.35">
      <c r="B31" t="s">
        <v>8</v>
      </c>
      <c r="E31" s="2" t="s">
        <v>12</v>
      </c>
      <c r="H31" t="s">
        <v>13</v>
      </c>
      <c r="I31" t="s">
        <v>3</v>
      </c>
      <c r="K31" t="s">
        <v>9</v>
      </c>
      <c r="N31" s="2" t="s">
        <v>4</v>
      </c>
      <c r="P31" s="2" t="s">
        <v>5</v>
      </c>
      <c r="S31" s="2" t="s">
        <v>6</v>
      </c>
      <c r="T31" s="2" t="s">
        <v>7</v>
      </c>
      <c r="U31" s="2" t="s">
        <v>21</v>
      </c>
      <c r="V31" s="2" t="s">
        <v>21</v>
      </c>
    </row>
    <row r="32" spans="1:25" x14ac:dyDescent="0.35">
      <c r="B32" t="s">
        <v>1</v>
      </c>
      <c r="C32" t="s">
        <v>2</v>
      </c>
      <c r="E32" s="2" t="s">
        <v>1</v>
      </c>
      <c r="F32" s="2" t="s">
        <v>2</v>
      </c>
      <c r="I32" t="s">
        <v>29</v>
      </c>
      <c r="J32" t="s">
        <v>30</v>
      </c>
      <c r="K32" t="s">
        <v>1</v>
      </c>
      <c r="L32" t="s">
        <v>2</v>
      </c>
      <c r="N32" s="2" t="s">
        <v>1</v>
      </c>
      <c r="O32" s="2" t="s">
        <v>2</v>
      </c>
      <c r="P32" s="2" t="s">
        <v>1</v>
      </c>
      <c r="Q32" s="2" t="s">
        <v>2</v>
      </c>
    </row>
    <row r="33" spans="1:25" x14ac:dyDescent="0.35">
      <c r="A33" t="s">
        <v>10</v>
      </c>
      <c r="B33">
        <v>8.0153537647647308</v>
      </c>
      <c r="C33">
        <v>10.0858851917633</v>
      </c>
      <c r="H33">
        <v>1</v>
      </c>
      <c r="I33" s="1">
        <v>9.0691091348709307E-6</v>
      </c>
      <c r="J33" s="1">
        <f>I33*1000*3600</f>
        <v>32.64879288553535</v>
      </c>
      <c r="K33">
        <v>2.5646280428945101</v>
      </c>
      <c r="L33">
        <v>4.1138247261465102</v>
      </c>
      <c r="N33" s="3"/>
      <c r="O33" s="3"/>
      <c r="U33" s="1">
        <f>K33*J33</f>
        <v>83.732009800898723</v>
      </c>
      <c r="V33" s="1">
        <f>L33*J33</f>
        <v>134.3114114513516</v>
      </c>
      <c r="X33" s="3"/>
      <c r="Y33" s="3"/>
    </row>
    <row r="34" spans="1:25" x14ac:dyDescent="0.35">
      <c r="B34">
        <v>12.0233831114761</v>
      </c>
      <c r="C34">
        <v>9.8474980925124491</v>
      </c>
      <c r="H34">
        <v>2</v>
      </c>
      <c r="I34" s="1">
        <v>8.8694297772400102E-6</v>
      </c>
      <c r="J34" s="1">
        <f t="shared" ref="J34:J42" si="8">I34*1000*3600</f>
        <v>31.929947198064035</v>
      </c>
      <c r="K34">
        <v>4.6906663266327397</v>
      </c>
      <c r="L34">
        <v>5.8145792091644797</v>
      </c>
      <c r="N34" s="3"/>
      <c r="O34" s="3"/>
      <c r="U34" s="1">
        <f t="shared" ref="U34:U42" si="9">K34*J34</f>
        <v>149.77272813312038</v>
      </c>
      <c r="V34" s="1">
        <f t="shared" ref="V34:V42" si="10">L34*J34</f>
        <v>185.65920712758276</v>
      </c>
      <c r="X34" s="3"/>
      <c r="Y34" s="3"/>
    </row>
    <row r="35" spans="1:25" x14ac:dyDescent="0.35">
      <c r="B35">
        <v>15.8294341618021</v>
      </c>
      <c r="C35">
        <v>9.5695300218094701</v>
      </c>
      <c r="E35" s="2">
        <f>(B34+B33)/2</f>
        <v>10.019368438120416</v>
      </c>
      <c r="F35" s="2">
        <f>(C34+C33)/2</f>
        <v>9.9666916421378744</v>
      </c>
      <c r="H35">
        <v>3</v>
      </c>
      <c r="I35" s="1">
        <v>8.65987618747351E-6</v>
      </c>
      <c r="J35" s="1">
        <f t="shared" si="8"/>
        <v>31.175554274904634</v>
      </c>
      <c r="K35">
        <v>7.8433443209736602</v>
      </c>
      <c r="L35">
        <v>6.0706001766361402</v>
      </c>
      <c r="N35" s="3">
        <v>0.21718176455790339</v>
      </c>
      <c r="O35" s="3">
        <v>0.39091120758964459</v>
      </c>
      <c r="P35" s="2">
        <v>31.213988016096305</v>
      </c>
      <c r="Q35" s="2">
        <v>13.493175501349224</v>
      </c>
      <c r="S35" s="2">
        <f>(1/2)*(E35*(1)^2+E35*(-1)^2+F35*(2)^2+2*F35*(-1)^2)</f>
        <v>39.91944336453404</v>
      </c>
      <c r="T35" s="2">
        <f>E35/F35</f>
        <v>1.0052852840113795</v>
      </c>
      <c r="U35" s="1">
        <f t="shared" si="9"/>
        <v>244.52060657527937</v>
      </c>
      <c r="V35" s="1">
        <f t="shared" si="10"/>
        <v>189.25432528796566</v>
      </c>
      <c r="X35" s="3"/>
      <c r="Y35" s="3"/>
    </row>
    <row r="36" spans="1:25" x14ac:dyDescent="0.35">
      <c r="B36">
        <v>19.3116177457715</v>
      </c>
      <c r="C36">
        <v>9.4085605279720905</v>
      </c>
      <c r="E36" s="2">
        <f t="shared" ref="E36:F42" si="11">(B35+B34)/2</f>
        <v>13.926408636639099</v>
      </c>
      <c r="F36" s="2">
        <f t="shared" si="11"/>
        <v>9.7085140571609596</v>
      </c>
      <c r="H36">
        <v>4</v>
      </c>
      <c r="I36" s="1">
        <v>8.4638657526650706E-6</v>
      </c>
      <c r="J36" s="1">
        <f t="shared" si="8"/>
        <v>30.469916709594251</v>
      </c>
      <c r="K36">
        <v>11.062911530974599</v>
      </c>
      <c r="L36">
        <v>6.3771843930646304</v>
      </c>
      <c r="N36" s="3">
        <v>0.2056163351498177</v>
      </c>
      <c r="O36" s="3">
        <v>0.34313486538541438</v>
      </c>
      <c r="P36" s="2">
        <v>32.69952599098248</v>
      </c>
      <c r="Q36" s="2">
        <v>16.202429067473144</v>
      </c>
      <c r="S36" s="2">
        <f t="shared" ref="S36:S42" si="12">(1/2)*(E36*(1)^2+E36*(-1)^2+F36*(2)^2+2*F36*(-1)^2)</f>
        <v>43.05195080812198</v>
      </c>
      <c r="T36" s="2">
        <f t="shared" ref="T36:T42" si="13">E36/F36</f>
        <v>1.4344531567492596</v>
      </c>
      <c r="U36" s="1">
        <f t="shared" si="9"/>
        <v>337.08599291440584</v>
      </c>
      <c r="V36" s="1">
        <f t="shared" si="10"/>
        <v>194.31227729840364</v>
      </c>
      <c r="X36" s="3"/>
      <c r="Y36" s="3"/>
    </row>
    <row r="37" spans="1:25" x14ac:dyDescent="0.35">
      <c r="B37">
        <v>22.4469993944309</v>
      </c>
      <c r="C37">
        <v>9.2218178921767304</v>
      </c>
      <c r="E37" s="2">
        <f t="shared" si="11"/>
        <v>17.570525953786799</v>
      </c>
      <c r="F37" s="2">
        <f t="shared" si="11"/>
        <v>9.4890452748907812</v>
      </c>
      <c r="H37">
        <v>5</v>
      </c>
      <c r="I37" s="1">
        <v>8.28074924631737E-6</v>
      </c>
      <c r="J37" s="1">
        <f t="shared" si="8"/>
        <v>29.810697286742531</v>
      </c>
      <c r="K37">
        <v>13.6170142929059</v>
      </c>
      <c r="L37">
        <v>5.5128568869330996</v>
      </c>
      <c r="N37" s="3">
        <v>0.22500815691455378</v>
      </c>
      <c r="O37" s="3">
        <v>0.41902934096849354</v>
      </c>
      <c r="P37" s="2">
        <v>28.521246556270192</v>
      </c>
      <c r="Q37" s="2">
        <v>11.480991607385741</v>
      </c>
      <c r="S37" s="2">
        <f t="shared" si="12"/>
        <v>46.037661778459139</v>
      </c>
      <c r="T37" s="2">
        <f t="shared" si="13"/>
        <v>1.8516642554420772</v>
      </c>
      <c r="U37" s="1">
        <f t="shared" si="9"/>
        <v>405.93269103506418</v>
      </c>
      <c r="V37" s="1">
        <f t="shared" si="10"/>
        <v>164.34210784149644</v>
      </c>
      <c r="X37" s="3"/>
      <c r="Y37" s="3"/>
    </row>
    <row r="38" spans="1:25" x14ac:dyDescent="0.35">
      <c r="B38">
        <v>25.5327935125541</v>
      </c>
      <c r="C38">
        <v>9.0607461513772396</v>
      </c>
      <c r="E38" s="2">
        <f t="shared" si="11"/>
        <v>20.879308570101202</v>
      </c>
      <c r="F38" s="2">
        <f t="shared" si="11"/>
        <v>9.3151892100744114</v>
      </c>
      <c r="H38">
        <v>6</v>
      </c>
      <c r="I38" s="1">
        <v>8.1082366328430007E-6</v>
      </c>
      <c r="J38" s="1">
        <f t="shared" si="8"/>
        <v>29.189651878234805</v>
      </c>
      <c r="K38">
        <v>16.588832165735401</v>
      </c>
      <c r="L38">
        <v>5.59495729088344</v>
      </c>
      <c r="N38" s="3">
        <v>0.20548939108595232</v>
      </c>
      <c r="O38" s="3">
        <v>0.39937266278687356</v>
      </c>
      <c r="P38" s="2">
        <v>31.349939723577663</v>
      </c>
      <c r="Q38" s="2">
        <v>12.194196128234552</v>
      </c>
      <c r="S38" s="2">
        <f t="shared" si="12"/>
        <v>48.824876200324439</v>
      </c>
      <c r="T38" s="2">
        <f t="shared" si="13"/>
        <v>2.2414261373800279</v>
      </c>
      <c r="U38" s="1">
        <f t="shared" si="9"/>
        <v>484.2222359842803</v>
      </c>
      <c r="V38" s="1">
        <f t="shared" si="10"/>
        <v>163.31485559447933</v>
      </c>
      <c r="X38" s="3"/>
      <c r="Y38" s="3"/>
    </row>
    <row r="39" spans="1:25" x14ac:dyDescent="0.35">
      <c r="B39">
        <v>28.323881929750002</v>
      </c>
      <c r="C39">
        <v>8.8749997497169506</v>
      </c>
      <c r="E39" s="2">
        <f t="shared" si="11"/>
        <v>23.989896453492499</v>
      </c>
      <c r="F39" s="2">
        <f t="shared" si="11"/>
        <v>9.1412820217769841</v>
      </c>
      <c r="H39">
        <v>7</v>
      </c>
      <c r="I39" s="1">
        <v>7.9456205767729793E-6</v>
      </c>
      <c r="J39" s="1">
        <f t="shared" si="8"/>
        <v>28.604234076382724</v>
      </c>
      <c r="K39">
        <v>18.340682894075101</v>
      </c>
      <c r="L39">
        <v>5.35113548952177</v>
      </c>
      <c r="N39" s="3">
        <v>0.23548303221604661</v>
      </c>
      <c r="O39" s="3">
        <v>0.4146187070069679</v>
      </c>
      <c r="P39" s="2">
        <v>25.79617602742217</v>
      </c>
      <c r="Q39" s="2">
        <v>11.218060276246153</v>
      </c>
      <c r="S39" s="2">
        <f t="shared" si="12"/>
        <v>51.413742518823454</v>
      </c>
      <c r="T39" s="2">
        <f t="shared" si="13"/>
        <v>2.6243470441391192</v>
      </c>
      <c r="U39" s="1">
        <f t="shared" si="9"/>
        <v>524.62118662283274</v>
      </c>
      <c r="V39" s="1">
        <f t="shared" si="10"/>
        <v>153.06513211671955</v>
      </c>
      <c r="X39" s="3"/>
      <c r="Y39" s="3"/>
    </row>
    <row r="40" spans="1:25" x14ac:dyDescent="0.35">
      <c r="B40">
        <v>30.927638832369801</v>
      </c>
      <c r="C40">
        <v>8.7006434518267692</v>
      </c>
      <c r="E40" s="2">
        <f t="shared" si="11"/>
        <v>26.928337721152051</v>
      </c>
      <c r="F40" s="2">
        <f t="shared" si="11"/>
        <v>8.9678729505470951</v>
      </c>
      <c r="H40">
        <v>8</v>
      </c>
      <c r="I40" s="1">
        <v>7.7933716264122297E-6</v>
      </c>
      <c r="J40" s="1">
        <f t="shared" si="8"/>
        <v>28.056137855084028</v>
      </c>
      <c r="K40">
        <v>21.004104054935201</v>
      </c>
      <c r="L40">
        <v>5.5169389150027799</v>
      </c>
      <c r="N40" s="3">
        <v>0.21999997651408687</v>
      </c>
      <c r="O40" s="3">
        <v>0.38481076332975783</v>
      </c>
      <c r="P40" s="2">
        <v>27.631048638983621</v>
      </c>
      <c r="Q40" s="2">
        <v>12.459106654019383</v>
      </c>
      <c r="S40" s="2">
        <f t="shared" si="12"/>
        <v>53.831956572793338</v>
      </c>
      <c r="T40" s="2">
        <f t="shared" si="13"/>
        <v>3.0027563804312436</v>
      </c>
      <c r="U40" s="1">
        <f t="shared" si="9"/>
        <v>589.29403888779143</v>
      </c>
      <c r="V40" s="1">
        <f t="shared" si="10"/>
        <v>154.78399873739571</v>
      </c>
      <c r="X40" s="3"/>
      <c r="Y40" s="3"/>
    </row>
    <row r="41" spans="1:25" x14ac:dyDescent="0.35">
      <c r="B41">
        <v>33.085975883450601</v>
      </c>
      <c r="C41">
        <v>8.5039591874710592</v>
      </c>
      <c r="E41" s="2">
        <f t="shared" si="11"/>
        <v>29.625760381059902</v>
      </c>
      <c r="F41" s="2">
        <f t="shared" si="11"/>
        <v>8.7878216007718599</v>
      </c>
      <c r="H41">
        <v>9</v>
      </c>
      <c r="I41" s="1">
        <v>7.6592029501634098E-6</v>
      </c>
      <c r="J41" s="1">
        <f t="shared" si="8"/>
        <v>27.573130620588277</v>
      </c>
      <c r="K41">
        <v>23.184808959928102</v>
      </c>
      <c r="L41">
        <v>5.4302835249182504</v>
      </c>
      <c r="N41" s="3">
        <v>0.21741050147862451</v>
      </c>
      <c r="O41" s="3">
        <v>0.38206716389858297</v>
      </c>
      <c r="P41" s="2">
        <v>27.570019640615865</v>
      </c>
      <c r="Q41" s="2">
        <v>12.387541899641302</v>
      </c>
      <c r="S41" s="2">
        <f t="shared" si="12"/>
        <v>55.989225183375481</v>
      </c>
      <c r="T41" s="2">
        <f t="shared" si="13"/>
        <v>3.371229154044022</v>
      </c>
      <c r="U41" s="1">
        <f t="shared" si="9"/>
        <v>639.27776586548293</v>
      </c>
      <c r="V41" s="1">
        <f t="shared" si="10"/>
        <v>149.72991693939946</v>
      </c>
      <c r="X41" s="3"/>
      <c r="Y41" s="3"/>
    </row>
    <row r="42" spans="1:25" x14ac:dyDescent="0.35">
      <c r="A42" t="s">
        <v>11</v>
      </c>
      <c r="B42">
        <v>35.338374877385398</v>
      </c>
      <c r="C42">
        <v>8.38793726620972</v>
      </c>
      <c r="E42" s="2">
        <f t="shared" si="11"/>
        <v>32.006807357910205</v>
      </c>
      <c r="F42" s="2">
        <f t="shared" si="11"/>
        <v>8.6023013196489142</v>
      </c>
      <c r="H42">
        <v>10</v>
      </c>
      <c r="I42" s="1">
        <v>7.5474060660322098E-6</v>
      </c>
      <c r="J42" s="1">
        <f t="shared" si="8"/>
        <v>27.170661837715954</v>
      </c>
      <c r="K42">
        <v>26.285249667706399</v>
      </c>
      <c r="L42">
        <v>5.6538537815797101</v>
      </c>
      <c r="N42" s="3">
        <v>0.17876065007745212</v>
      </c>
      <c r="O42" s="3">
        <v>0.34275101842044509</v>
      </c>
      <c r="P42" s="2">
        <v>34.6733291056184</v>
      </c>
      <c r="Q42" s="2">
        <v>14.472677494373068</v>
      </c>
      <c r="S42" s="2">
        <f t="shared" si="12"/>
        <v>57.813711316856953</v>
      </c>
      <c r="T42" s="2">
        <f t="shared" si="13"/>
        <v>3.7207261369468627</v>
      </c>
      <c r="U42" s="1">
        <f t="shared" si="9"/>
        <v>714.18763004118625</v>
      </c>
      <c r="V42" s="1">
        <f t="shared" si="10"/>
        <v>153.61894917919386</v>
      </c>
      <c r="X42" s="3"/>
      <c r="Y42" s="3"/>
    </row>
    <row r="44" spans="1:25" x14ac:dyDescent="0.35">
      <c r="B44" t="s">
        <v>14</v>
      </c>
      <c r="U44" t="s">
        <v>15</v>
      </c>
      <c r="V44" t="s">
        <v>28</v>
      </c>
    </row>
    <row r="45" spans="1:25" x14ac:dyDescent="0.35">
      <c r="B45" t="s">
        <v>8</v>
      </c>
      <c r="H45" t="s">
        <v>13</v>
      </c>
      <c r="I45" t="s">
        <v>3</v>
      </c>
      <c r="K45" t="s">
        <v>9</v>
      </c>
      <c r="N45" s="2" t="s">
        <v>4</v>
      </c>
      <c r="P45" s="2" t="s">
        <v>5</v>
      </c>
      <c r="S45" s="2" t="s">
        <v>6</v>
      </c>
      <c r="T45" s="2" t="s">
        <v>7</v>
      </c>
      <c r="U45" s="2" t="s">
        <v>21</v>
      </c>
      <c r="V45" s="2" t="s">
        <v>21</v>
      </c>
    </row>
    <row r="46" spans="1:25" x14ac:dyDescent="0.35">
      <c r="B46" t="s">
        <v>1</v>
      </c>
      <c r="C46" t="s">
        <v>2</v>
      </c>
      <c r="I46" t="s">
        <v>29</v>
      </c>
      <c r="J46" t="s">
        <v>30</v>
      </c>
      <c r="K46" t="s">
        <v>1</v>
      </c>
      <c r="L46" t="s">
        <v>2</v>
      </c>
      <c r="N46" s="2" t="s">
        <v>1</v>
      </c>
      <c r="O46" s="2" t="s">
        <v>2</v>
      </c>
      <c r="P46" s="2" t="s">
        <v>1</v>
      </c>
      <c r="Q46" s="2" t="s">
        <v>2</v>
      </c>
    </row>
    <row r="47" spans="1:25" x14ac:dyDescent="0.35">
      <c r="B47">
        <v>8.2276324403718402</v>
      </c>
      <c r="C47">
        <v>19.374717521448002</v>
      </c>
      <c r="H47">
        <v>1</v>
      </c>
      <c r="I47" s="1">
        <v>7.1930337211877697E-6</v>
      </c>
      <c r="J47" s="1">
        <f>I47*1000*3600</f>
        <v>25.894921396275972</v>
      </c>
      <c r="K47">
        <v>2.82028823045041</v>
      </c>
      <c r="L47">
        <v>8.1699438280333307</v>
      </c>
      <c r="N47" s="3"/>
      <c r="O47" s="3"/>
      <c r="U47" s="1">
        <f>K47*J47</f>
        <v>73.031142042355626</v>
      </c>
      <c r="V47" s="1">
        <f>L47*J47</f>
        <v>211.56005323891313</v>
      </c>
      <c r="X47" s="3"/>
      <c r="Y47" s="3"/>
    </row>
    <row r="48" spans="1:25" x14ac:dyDescent="0.35">
      <c r="B48">
        <v>11.8912939321989</v>
      </c>
      <c r="C48">
        <v>18.825892910231801</v>
      </c>
      <c r="H48">
        <v>2</v>
      </c>
      <c r="I48" s="1">
        <v>7.1143242746365601E-6</v>
      </c>
      <c r="J48" s="1">
        <f t="shared" ref="J48:J56" si="14">I48*1000*3600</f>
        <v>25.611567388691615</v>
      </c>
      <c r="K48">
        <v>5.3794443491635402</v>
      </c>
      <c r="L48">
        <v>12.2525238627092</v>
      </c>
      <c r="N48" s="3"/>
      <c r="O48" s="3"/>
      <c r="U48" s="1">
        <f t="shared" ref="U48:U56" si="15">K48*J48</f>
        <v>137.77600146231831</v>
      </c>
      <c r="V48" s="1">
        <f t="shared" ref="V48:V56" si="16">L48*J48</f>
        <v>313.80634059132876</v>
      </c>
      <c r="X48" s="3"/>
      <c r="Y48" s="3"/>
    </row>
    <row r="49" spans="2:25" x14ac:dyDescent="0.35">
      <c r="B49">
        <v>15.155230410152599</v>
      </c>
      <c r="C49">
        <v>18.297838409333401</v>
      </c>
      <c r="E49" s="2">
        <f>(B48+B47)/2</f>
        <v>10.05946318628537</v>
      </c>
      <c r="F49" s="2">
        <f>(C48+C47)/2</f>
        <v>19.100305215839903</v>
      </c>
      <c r="H49">
        <v>3</v>
      </c>
      <c r="I49" s="1">
        <v>7.0264024190912701E-6</v>
      </c>
      <c r="J49" s="1">
        <f t="shared" si="14"/>
        <v>25.295048708728572</v>
      </c>
      <c r="K49">
        <v>8.7636575883348797</v>
      </c>
      <c r="L49">
        <v>12.0142091436461</v>
      </c>
      <c r="N49" s="3">
        <v>0.12881458721546246</v>
      </c>
      <c r="O49" s="3">
        <v>0.37099386591567629</v>
      </c>
      <c r="P49" s="2">
        <v>47.520233726538102</v>
      </c>
      <c r="Q49" s="2">
        <v>11.913000801899749</v>
      </c>
      <c r="S49" s="2">
        <f>(1/2)*(E49*(1)^2+E49*(-1)^2+F49*(2)^2+2*F49*(-1)^2)</f>
        <v>67.360378833805072</v>
      </c>
      <c r="T49" s="2">
        <f>E49/F49</f>
        <v>0.52666504920261936</v>
      </c>
      <c r="U49" s="1">
        <f t="shared" si="15"/>
        <v>221.67714556354954</v>
      </c>
      <c r="V49" s="1">
        <f t="shared" si="16"/>
        <v>303.90000548538029</v>
      </c>
      <c r="X49" s="3"/>
      <c r="Y49" s="3"/>
    </row>
    <row r="50" spans="2:25" x14ac:dyDescent="0.35">
      <c r="B50">
        <v>18.152842635933499</v>
      </c>
      <c r="C50">
        <v>17.854154717714099</v>
      </c>
      <c r="E50" s="2">
        <f t="shared" ref="E50:E56" si="17">(B49+B48)/2</f>
        <v>13.52326217117575</v>
      </c>
      <c r="F50" s="2">
        <f t="shared" ref="F50:F56" si="18">(C49+C48)/2</f>
        <v>18.561865659782601</v>
      </c>
      <c r="H50">
        <v>4</v>
      </c>
      <c r="I50" s="1">
        <v>6.9355077857038197E-6</v>
      </c>
      <c r="J50" s="1">
        <f t="shared" si="14"/>
        <v>24.967828028533749</v>
      </c>
      <c r="K50">
        <v>12.228223449561201</v>
      </c>
      <c r="L50">
        <v>11.8594050317766</v>
      </c>
      <c r="N50" s="3">
        <v>9.5763781343740306E-2</v>
      </c>
      <c r="O50" s="3">
        <v>0.36108765955180933</v>
      </c>
      <c r="P50" s="2">
        <v>65.487570004103674</v>
      </c>
      <c r="Q50" s="2">
        <v>12.271761148139939</v>
      </c>
      <c r="S50" s="2">
        <f t="shared" ref="S50:S56" si="19">(1/2)*(E50*(1)^2+E50*(-1)^2+F50*(2)^2+2*F50*(-1)^2)</f>
        <v>69.208859150523551</v>
      </c>
      <c r="T50" s="2">
        <f t="shared" ref="T50:T56" si="20">E50/F50</f>
        <v>0.72855080513141346</v>
      </c>
      <c r="U50" s="1">
        <f t="shared" si="15"/>
        <v>305.31218018312779</v>
      </c>
      <c r="V50" s="1">
        <f t="shared" si="16"/>
        <v>296.10358535412598</v>
      </c>
      <c r="X50" s="3"/>
      <c r="Y50" s="3"/>
    </row>
    <row r="51" spans="2:25" x14ac:dyDescent="0.35">
      <c r="B51">
        <v>20.857306277733102</v>
      </c>
      <c r="C51">
        <v>17.4571226185132</v>
      </c>
      <c r="E51" s="2">
        <f t="shared" si="17"/>
        <v>16.65403652304305</v>
      </c>
      <c r="F51" s="2">
        <f t="shared" si="18"/>
        <v>18.075996563523752</v>
      </c>
      <c r="H51">
        <v>5</v>
      </c>
      <c r="I51" s="1">
        <v>6.8469456849967898E-6</v>
      </c>
      <c r="J51" s="1">
        <f t="shared" si="14"/>
        <v>24.64900446598844</v>
      </c>
      <c r="K51">
        <v>14.9624848462398</v>
      </c>
      <c r="L51">
        <v>11.139725359255699</v>
      </c>
      <c r="N51" s="3">
        <v>0.10157007128348527</v>
      </c>
      <c r="O51" s="3">
        <v>0.38372828739440135</v>
      </c>
      <c r="P51" s="2">
        <v>60.564109544911894</v>
      </c>
      <c r="Q51" s="2">
        <v>10.996267624840343</v>
      </c>
      <c r="S51" s="2">
        <f t="shared" si="19"/>
        <v>70.882026213614296</v>
      </c>
      <c r="T51" s="2">
        <f t="shared" si="20"/>
        <v>0.92133434881537157</v>
      </c>
      <c r="U51" s="1">
        <f t="shared" si="15"/>
        <v>368.8103557972492</v>
      </c>
      <c r="V51" s="1">
        <f t="shared" si="16"/>
        <v>274.58314013017844</v>
      </c>
      <c r="X51" s="3"/>
      <c r="Y51" s="3"/>
    </row>
    <row r="52" spans="2:25" x14ac:dyDescent="0.35">
      <c r="B52">
        <v>23.2341666231444</v>
      </c>
      <c r="C52">
        <v>17.010103638241802</v>
      </c>
      <c r="E52" s="2">
        <f t="shared" si="17"/>
        <v>19.505074456833299</v>
      </c>
      <c r="F52" s="2">
        <f t="shared" si="18"/>
        <v>17.655638668113649</v>
      </c>
      <c r="H52">
        <v>6</v>
      </c>
      <c r="I52" s="1">
        <v>6.7599647797192901E-6</v>
      </c>
      <c r="J52" s="1">
        <f t="shared" si="14"/>
        <v>24.335873206989444</v>
      </c>
      <c r="K52">
        <v>17.759910477808798</v>
      </c>
      <c r="L52">
        <v>10.654463173067199</v>
      </c>
      <c r="N52" s="3">
        <v>8.9472305419121767E-2</v>
      </c>
      <c r="O52" s="3">
        <v>0.39654048356181415</v>
      </c>
      <c r="P52" s="2">
        <v>68.793747042649457</v>
      </c>
      <c r="Q52" s="2">
        <v>10.287386146470631</v>
      </c>
      <c r="S52" s="2">
        <f t="shared" si="19"/>
        <v>72.471990461174244</v>
      </c>
      <c r="T52" s="2">
        <f t="shared" si="20"/>
        <v>1.1047504326229647</v>
      </c>
      <c r="U52" s="1">
        <f t="shared" si="15"/>
        <v>432.20292955543823</v>
      </c>
      <c r="V52" s="1">
        <f t="shared" si="16"/>
        <v>259.28566486830181</v>
      </c>
      <c r="X52" s="3"/>
      <c r="Y52" s="3"/>
    </row>
    <row r="53" spans="2:25" x14ac:dyDescent="0.35">
      <c r="B53">
        <v>25.576746079273999</v>
      </c>
      <c r="C53">
        <v>16.6799105042661</v>
      </c>
      <c r="E53" s="2">
        <f t="shared" si="17"/>
        <v>22.045736450438753</v>
      </c>
      <c r="F53" s="2">
        <f t="shared" si="18"/>
        <v>17.233613128377499</v>
      </c>
      <c r="H53">
        <v>7</v>
      </c>
      <c r="I53" s="1">
        <v>6.6668791816364701E-6</v>
      </c>
      <c r="J53" s="1">
        <f t="shared" si="14"/>
        <v>24.000765053891293</v>
      </c>
      <c r="K53">
        <v>20.683028420747</v>
      </c>
      <c r="L53">
        <v>11.0162779241116</v>
      </c>
      <c r="N53" s="3">
        <v>6.1812769682485835E-2</v>
      </c>
      <c r="O53" s="3">
        <v>0.36076794563922332</v>
      </c>
      <c r="P53" s="2">
        <v>101.18913852930395</v>
      </c>
      <c r="Q53" s="2">
        <v>11.812809111689655</v>
      </c>
      <c r="S53" s="2">
        <f t="shared" si="19"/>
        <v>73.74657583557125</v>
      </c>
      <c r="T53" s="2">
        <f t="shared" si="20"/>
        <v>1.2792289281542149</v>
      </c>
      <c r="U53" s="1">
        <f t="shared" si="15"/>
        <v>496.40850572930503</v>
      </c>
      <c r="V53" s="1">
        <f t="shared" si="16"/>
        <v>264.39909822497179</v>
      </c>
      <c r="X53" s="3"/>
      <c r="Y53" s="3"/>
    </row>
    <row r="54" spans="2:25" x14ac:dyDescent="0.35">
      <c r="B54">
        <v>27.623090316914301</v>
      </c>
      <c r="C54">
        <v>16.3398536122215</v>
      </c>
      <c r="E54" s="2">
        <f t="shared" si="17"/>
        <v>24.4054563512092</v>
      </c>
      <c r="F54" s="2">
        <f t="shared" si="18"/>
        <v>16.845007071253953</v>
      </c>
      <c r="H54">
        <v>8</v>
      </c>
      <c r="I54" s="1">
        <v>6.5714725855824796E-6</v>
      </c>
      <c r="J54" s="1">
        <f t="shared" si="14"/>
        <v>23.657301308096926</v>
      </c>
      <c r="K54">
        <v>21.6365994815799</v>
      </c>
      <c r="L54">
        <v>10.084449655324301</v>
      </c>
      <c r="N54" s="3">
        <v>0.11345237023163113</v>
      </c>
      <c r="O54" s="3">
        <v>0.40133894793470049</v>
      </c>
      <c r="P54" s="2">
        <v>51.351271312722758</v>
      </c>
      <c r="Q54" s="2">
        <v>9.8023994729342174</v>
      </c>
      <c r="S54" s="2">
        <f t="shared" si="19"/>
        <v>74.940477564971047</v>
      </c>
      <c r="T54" s="2">
        <f t="shared" si="20"/>
        <v>1.4488243458714347</v>
      </c>
      <c r="U54" s="1">
        <f t="shared" si="15"/>
        <v>511.86355321834947</v>
      </c>
      <c r="V54" s="1">
        <f t="shared" si="16"/>
        <v>238.57086402234117</v>
      </c>
      <c r="X54" s="3"/>
      <c r="Y54" s="3"/>
    </row>
    <row r="55" spans="2:25" x14ac:dyDescent="0.35">
      <c r="B55">
        <v>29.459509971191199</v>
      </c>
      <c r="C55">
        <v>15.9717235687461</v>
      </c>
      <c r="E55" s="2">
        <f t="shared" si="17"/>
        <v>26.599918198094151</v>
      </c>
      <c r="F55" s="2">
        <f t="shared" si="18"/>
        <v>16.5098820582438</v>
      </c>
      <c r="H55">
        <v>9</v>
      </c>
      <c r="I55" s="1">
        <v>6.4736580457570803E-6</v>
      </c>
      <c r="J55" s="1">
        <f t="shared" si="14"/>
        <v>23.305168964725489</v>
      </c>
      <c r="K55">
        <v>24.596913728219501</v>
      </c>
      <c r="L55">
        <v>9.9590699094617694</v>
      </c>
      <c r="N55" s="3">
        <v>7.5301151490690055E-2</v>
      </c>
      <c r="O55" s="3">
        <v>0.39678128079122443</v>
      </c>
      <c r="P55" s="2">
        <v>79.496581686333357</v>
      </c>
      <c r="Q55" s="2">
        <v>9.8417740553942448</v>
      </c>
      <c r="S55" s="2">
        <f t="shared" si="19"/>
        <v>76.129564372825556</v>
      </c>
      <c r="T55" s="2">
        <f t="shared" si="20"/>
        <v>1.6111513155729749</v>
      </c>
      <c r="U55" s="1">
        <f t="shared" si="15"/>
        <v>573.2352304469315</v>
      </c>
      <c r="V55" s="1">
        <f t="shared" si="16"/>
        <v>232.0978069715199</v>
      </c>
      <c r="X55" s="3"/>
      <c r="Y55" s="3"/>
    </row>
    <row r="56" spans="2:25" x14ac:dyDescent="0.35">
      <c r="B56">
        <v>31.234369189016199</v>
      </c>
      <c r="C56">
        <v>15.7058007104011</v>
      </c>
      <c r="E56" s="2">
        <f t="shared" si="17"/>
        <v>28.541300144052748</v>
      </c>
      <c r="F56" s="2">
        <f t="shared" si="18"/>
        <v>16.155788590483802</v>
      </c>
      <c r="H56">
        <v>10</v>
      </c>
      <c r="I56" s="1">
        <v>6.3767082617736804E-6</v>
      </c>
      <c r="J56" s="1">
        <f t="shared" si="14"/>
        <v>22.956149742385247</v>
      </c>
      <c r="K56">
        <v>26.573932028492301</v>
      </c>
      <c r="L56">
        <v>10.204861610624601</v>
      </c>
      <c r="N56" s="3">
        <v>6.8930570984181094E-2</v>
      </c>
      <c r="O56" s="3">
        <v>0.36834642558794428</v>
      </c>
      <c r="P56" s="2">
        <v>86.132437835929053</v>
      </c>
      <c r="Q56" s="2">
        <v>10.935006523011747</v>
      </c>
      <c r="S56" s="2">
        <f t="shared" si="19"/>
        <v>77.008665915504153</v>
      </c>
      <c r="T56" s="2">
        <f t="shared" si="20"/>
        <v>1.7666299595467811</v>
      </c>
      <c r="U56" s="1">
        <f t="shared" si="15"/>
        <v>610.03516289003664</v>
      </c>
      <c r="V56" s="1">
        <f t="shared" si="16"/>
        <v>234.26433123381702</v>
      </c>
      <c r="X56" s="3"/>
      <c r="Y56" s="3"/>
    </row>
    <row r="58" spans="2:25" x14ac:dyDescent="0.35">
      <c r="B58" t="s">
        <v>20</v>
      </c>
      <c r="U58" t="s">
        <v>15</v>
      </c>
      <c r="V58" t="s">
        <v>28</v>
      </c>
    </row>
    <row r="59" spans="2:25" x14ac:dyDescent="0.35">
      <c r="B59" t="s">
        <v>8</v>
      </c>
      <c r="H59" t="s">
        <v>13</v>
      </c>
      <c r="I59" t="s">
        <v>3</v>
      </c>
      <c r="K59" t="s">
        <v>9</v>
      </c>
      <c r="N59" s="2" t="s">
        <v>4</v>
      </c>
      <c r="P59" s="2" t="s">
        <v>5</v>
      </c>
      <c r="S59" s="2" t="s">
        <v>6</v>
      </c>
      <c r="T59" s="2" t="s">
        <v>7</v>
      </c>
      <c r="U59" s="2" t="s">
        <v>21</v>
      </c>
      <c r="V59" s="2" t="s">
        <v>21</v>
      </c>
    </row>
    <row r="60" spans="2:25" x14ac:dyDescent="0.35">
      <c r="B60" t="s">
        <v>1</v>
      </c>
      <c r="C60" t="s">
        <v>2</v>
      </c>
      <c r="I60" t="s">
        <v>29</v>
      </c>
      <c r="J60" t="s">
        <v>30</v>
      </c>
      <c r="K60" t="s">
        <v>1</v>
      </c>
      <c r="L60" t="s">
        <v>2</v>
      </c>
      <c r="N60" s="2" t="s">
        <v>1</v>
      </c>
      <c r="O60" s="2" t="s">
        <v>2</v>
      </c>
      <c r="P60" s="2" t="s">
        <v>1</v>
      </c>
      <c r="Q60" s="2" t="s">
        <v>2</v>
      </c>
    </row>
    <row r="61" spans="2:25" x14ac:dyDescent="0.35">
      <c r="B61">
        <v>9.0727155170763503</v>
      </c>
      <c r="C61">
        <v>8.3689636192239494</v>
      </c>
      <c r="H61">
        <v>1</v>
      </c>
      <c r="I61" s="1">
        <v>8.6604695067966307E-6</v>
      </c>
      <c r="J61" s="1">
        <f>I61*1000*3600</f>
        <v>31.177690224467874</v>
      </c>
      <c r="K61">
        <v>5.4039658430060999</v>
      </c>
      <c r="L61">
        <v>0.24363984531590599</v>
      </c>
      <c r="N61" s="3"/>
      <c r="O61" s="3"/>
      <c r="U61" s="1">
        <f>K61*J61</f>
        <v>168.48317303684956</v>
      </c>
      <c r="V61" s="1">
        <f>L61*J61</f>
        <v>7.5961276235965869</v>
      </c>
      <c r="X61" s="3"/>
      <c r="Y61" s="3"/>
    </row>
    <row r="62" spans="2:25" x14ac:dyDescent="0.35">
      <c r="B62">
        <v>9.1616718897479501</v>
      </c>
      <c r="C62">
        <v>13.3076559242268</v>
      </c>
      <c r="H62">
        <v>2</v>
      </c>
      <c r="I62" s="1">
        <v>8.1872043977621805E-6</v>
      </c>
      <c r="J62" s="1">
        <f t="shared" ref="J62:J70" si="21">I62*1000*3600</f>
        <v>29.473935831943852</v>
      </c>
      <c r="K62">
        <v>8.2181002163919992</v>
      </c>
      <c r="L62">
        <v>2.05284451392972</v>
      </c>
      <c r="N62" s="3"/>
      <c r="O62" s="3"/>
      <c r="U62" s="1">
        <f t="shared" ref="U62:U70" si="22">K62*J62</f>
        <v>242.21975843842168</v>
      </c>
      <c r="V62" s="1">
        <f t="shared" ref="V62:V70" si="23">L62*J62</f>
        <v>60.505407476522535</v>
      </c>
      <c r="X62" s="3"/>
      <c r="Y62" s="3"/>
    </row>
    <row r="63" spans="2:25" x14ac:dyDescent="0.35">
      <c r="B63">
        <v>9.2208170377780405</v>
      </c>
      <c r="C63">
        <v>18.0199886155469</v>
      </c>
      <c r="E63" s="2">
        <f>(B62+B61)/2</f>
        <v>9.1171937034121502</v>
      </c>
      <c r="F63" s="2">
        <f>(C62+C61)/2</f>
        <v>10.838309771725374</v>
      </c>
      <c r="H63">
        <v>3</v>
      </c>
      <c r="I63" s="1">
        <v>7.6854774191906306E-6</v>
      </c>
      <c r="J63" s="1">
        <f t="shared" si="21"/>
        <v>27.66771870908627</v>
      </c>
      <c r="K63">
        <v>9.2288589673255395</v>
      </c>
      <c r="L63">
        <v>4.5335642914098804</v>
      </c>
      <c r="N63" s="3">
        <v>-1.2247766971496654E-2</v>
      </c>
      <c r="O63" s="3">
        <v>0.58170928983438963</v>
      </c>
      <c r="P63" s="2">
        <v>-635.1857749898777</v>
      </c>
      <c r="Q63" s="2">
        <v>5.5264096066786914</v>
      </c>
      <c r="S63" s="2">
        <f>(1/2)*(E63*(1)^2+E63*(-1)^2+F63*(2)^2+2*F63*(-1)^2)</f>
        <v>41.632123018588274</v>
      </c>
      <c r="T63" s="2">
        <f>E63/F63</f>
        <v>0.84120069415221788</v>
      </c>
      <c r="U63" s="1">
        <f t="shared" si="22"/>
        <v>255.34147391379142</v>
      </c>
      <c r="V63" s="1">
        <f t="shared" si="23"/>
        <v>125.43338156428658</v>
      </c>
      <c r="X63" s="3"/>
      <c r="Y63" s="3"/>
    </row>
    <row r="64" spans="2:25" x14ac:dyDescent="0.35">
      <c r="B64">
        <v>9.2525944429462399</v>
      </c>
      <c r="C64">
        <v>22.465136505566001</v>
      </c>
      <c r="E64" s="2">
        <f t="shared" ref="E64:E70" si="24">(B63+B62)/2</f>
        <v>9.1912444637629953</v>
      </c>
      <c r="F64" s="2">
        <f t="shared" ref="F64:F70" si="25">(C63+C62)/2</f>
        <v>15.66382226988685</v>
      </c>
      <c r="H64">
        <v>4</v>
      </c>
      <c r="I64" s="1">
        <v>7.1974389341382001E-6</v>
      </c>
      <c r="J64" s="1">
        <f t="shared" si="21"/>
        <v>25.91078016289752</v>
      </c>
      <c r="K64">
        <v>9.6476687753286807</v>
      </c>
      <c r="L64">
        <v>7.10309265103154</v>
      </c>
      <c r="N64" s="3">
        <v>-4.9658597741052857E-2</v>
      </c>
      <c r="O64" s="3">
        <v>0.54652877639661512</v>
      </c>
      <c r="P64" s="2">
        <v>-152.1358637295703</v>
      </c>
      <c r="Q64" s="2">
        <v>5.9719297157479128</v>
      </c>
      <c r="S64" s="2">
        <f t="shared" ref="S64:S70" si="26">(1/2)*(E64*(1)^2+E64*(-1)^2+F64*(2)^2+2*F64*(-1)^2)</f>
        <v>56.18271127342355</v>
      </c>
      <c r="T64" s="2">
        <f t="shared" ref="T64:T70" si="27">E64/F64</f>
        <v>0.5867817130071018</v>
      </c>
      <c r="U64" s="1">
        <f t="shared" si="22"/>
        <v>249.97862472199219</v>
      </c>
      <c r="V64" s="1">
        <f t="shared" si="23"/>
        <v>184.04667215757118</v>
      </c>
      <c r="X64" s="3"/>
      <c r="Y64" s="3"/>
    </row>
    <row r="65" spans="2:25" x14ac:dyDescent="0.35">
      <c r="B65">
        <v>9.2741220247793894</v>
      </c>
      <c r="C65">
        <v>26.604873881894701</v>
      </c>
      <c r="E65" s="2">
        <f t="shared" si="24"/>
        <v>9.2367057403621402</v>
      </c>
      <c r="F65" s="2">
        <f t="shared" si="25"/>
        <v>20.242562560556451</v>
      </c>
      <c r="H65">
        <v>5</v>
      </c>
      <c r="I65" s="1">
        <v>6.7589017141466797E-6</v>
      </c>
      <c r="J65" s="1">
        <f t="shared" si="21"/>
        <v>24.332046170928045</v>
      </c>
      <c r="K65">
        <v>9.9429252317624996</v>
      </c>
      <c r="L65">
        <v>9.9661812728122108</v>
      </c>
      <c r="N65" s="3">
        <v>-7.6457939794958962E-2</v>
      </c>
      <c r="O65" s="3">
        <v>0.50766207376175942</v>
      </c>
      <c r="P65" s="2">
        <v>-95.15916115446602</v>
      </c>
      <c r="Q65" s="2">
        <v>6.5548793687367386</v>
      </c>
      <c r="S65" s="2">
        <f t="shared" si="26"/>
        <v>69.964393422031492</v>
      </c>
      <c r="T65" s="2">
        <f t="shared" si="27"/>
        <v>0.45630120755364639</v>
      </c>
      <c r="U65" s="1">
        <f t="shared" si="22"/>
        <v>241.93171581333058</v>
      </c>
      <c r="V65" s="1">
        <f t="shared" si="23"/>
        <v>242.49758287790513</v>
      </c>
      <c r="X65" s="3"/>
      <c r="Y65" s="3"/>
    </row>
    <row r="66" spans="2:25" x14ac:dyDescent="0.35">
      <c r="B66">
        <v>9.2897163696202494</v>
      </c>
      <c r="C66">
        <v>30.506284876738501</v>
      </c>
      <c r="E66" s="2">
        <f t="shared" si="24"/>
        <v>9.2633582338628138</v>
      </c>
      <c r="F66" s="2">
        <f t="shared" si="25"/>
        <v>24.535005193730349</v>
      </c>
      <c r="H66">
        <v>6</v>
      </c>
      <c r="I66" s="1">
        <v>6.3568439476348403E-6</v>
      </c>
      <c r="J66" s="1">
        <f t="shared" si="21"/>
        <v>22.884638211485427</v>
      </c>
      <c r="K66">
        <v>10.061621223497299</v>
      </c>
      <c r="L66">
        <v>11.697823005720201</v>
      </c>
      <c r="N66" s="3">
        <v>-8.6174254463827538E-2</v>
      </c>
      <c r="O66" s="3">
        <v>0.5232190532117984</v>
      </c>
      <c r="P66" s="2">
        <v>-80.12416560520937</v>
      </c>
      <c r="Q66" s="2">
        <v>5.7926447007871413</v>
      </c>
      <c r="S66" s="2">
        <f t="shared" si="26"/>
        <v>82.868373815053872</v>
      </c>
      <c r="T66" s="2">
        <f t="shared" si="27"/>
        <v>0.37755680753758158</v>
      </c>
      <c r="U66" s="1">
        <f t="shared" si="22"/>
        <v>230.25656152073907</v>
      </c>
      <c r="V66" s="1">
        <f t="shared" si="23"/>
        <v>267.70044734789781</v>
      </c>
      <c r="X66" s="3"/>
      <c r="Y66" s="3"/>
    </row>
    <row r="67" spans="2:25" x14ac:dyDescent="0.35">
      <c r="B67">
        <v>9.2998312166834793</v>
      </c>
      <c r="C67">
        <v>34.148363399880999</v>
      </c>
      <c r="E67" s="2">
        <f t="shared" si="24"/>
        <v>9.2819191971998194</v>
      </c>
      <c r="F67" s="2">
        <f t="shared" si="25"/>
        <v>28.555579379316601</v>
      </c>
      <c r="H67">
        <v>7</v>
      </c>
      <c r="I67" s="1">
        <v>5.9905790471336497E-6</v>
      </c>
      <c r="J67" s="1">
        <f t="shared" si="21"/>
        <v>21.566084569681138</v>
      </c>
      <c r="K67">
        <v>10.1346104388199</v>
      </c>
      <c r="L67">
        <v>14.2243465457439</v>
      </c>
      <c r="N67" s="3">
        <v>-9.1865833294187738E-2</v>
      </c>
      <c r="O67" s="3">
        <v>0.50187154822546209</v>
      </c>
      <c r="P67" s="2">
        <v>-71.200666762221758</v>
      </c>
      <c r="Q67" s="2">
        <v>5.9458996560631823</v>
      </c>
      <c r="S67" s="2">
        <f t="shared" si="26"/>
        <v>94.948657335149619</v>
      </c>
      <c r="T67" s="2">
        <f t="shared" si="27"/>
        <v>0.32504748280200912</v>
      </c>
      <c r="U67" s="1">
        <f t="shared" si="22"/>
        <v>218.56386580436322</v>
      </c>
      <c r="V67" s="1">
        <f t="shared" si="23"/>
        <v>306.76346055396471</v>
      </c>
      <c r="X67" s="3"/>
      <c r="Y67" s="3"/>
    </row>
    <row r="68" spans="2:25" x14ac:dyDescent="0.35">
      <c r="B68">
        <v>9.3483115963222705</v>
      </c>
      <c r="C68">
        <v>37.649747125782199</v>
      </c>
      <c r="E68" s="2">
        <f t="shared" si="24"/>
        <v>9.2947737931518652</v>
      </c>
      <c r="F68" s="2">
        <f t="shared" si="25"/>
        <v>32.327324138309748</v>
      </c>
      <c r="H68">
        <v>8</v>
      </c>
      <c r="I68" s="1">
        <v>5.7043323099368997E-6</v>
      </c>
      <c r="J68" s="1">
        <f t="shared" si="21"/>
        <v>20.535596315772839</v>
      </c>
      <c r="K68">
        <v>10.192905622273701</v>
      </c>
      <c r="L68">
        <v>16.672088785340399</v>
      </c>
      <c r="N68" s="3">
        <v>-9.662761559442723E-2</v>
      </c>
      <c r="O68" s="3">
        <v>0.48427253941556492</v>
      </c>
      <c r="P68" s="2">
        <v>-64.738514979615431</v>
      </c>
      <c r="Q68" s="2">
        <v>6.0748454167644015</v>
      </c>
      <c r="S68" s="2">
        <f t="shared" si="26"/>
        <v>106.27674620808111</v>
      </c>
      <c r="T68" s="2">
        <f t="shared" si="27"/>
        <v>0.28752066683233524</v>
      </c>
      <c r="U68" s="1">
        <f t="shared" si="22"/>
        <v>209.31739514378407</v>
      </c>
      <c r="V68" s="1">
        <f t="shared" si="23"/>
        <v>342.37128503647398</v>
      </c>
      <c r="X68" s="3"/>
      <c r="Y68" s="3"/>
    </row>
    <row r="69" spans="2:25" x14ac:dyDescent="0.35">
      <c r="B69">
        <v>9.3718978008655807</v>
      </c>
      <c r="C69">
        <v>40.816515861605701</v>
      </c>
      <c r="E69" s="2">
        <f t="shared" si="24"/>
        <v>9.324071406502874</v>
      </c>
      <c r="F69" s="2">
        <f t="shared" si="25"/>
        <v>35.899055262831595</v>
      </c>
      <c r="H69">
        <v>9</v>
      </c>
      <c r="I69" s="1">
        <v>5.4969093801093998E-6</v>
      </c>
      <c r="J69" s="1">
        <f t="shared" si="21"/>
        <v>19.788873768393842</v>
      </c>
      <c r="K69">
        <v>9.8828884922709506</v>
      </c>
      <c r="L69">
        <v>18.3801987285838</v>
      </c>
      <c r="N69" s="3">
        <v>-5.9932733395664739E-2</v>
      </c>
      <c r="O69" s="3">
        <v>0.48800327490473261</v>
      </c>
      <c r="P69" s="2">
        <v>-97.214891669017149</v>
      </c>
      <c r="Q69" s="2">
        <v>5.7671735938880584</v>
      </c>
      <c r="S69" s="2">
        <f t="shared" si="26"/>
        <v>117.02123719499765</v>
      </c>
      <c r="T69" s="2">
        <f t="shared" si="27"/>
        <v>0.25973027251657604</v>
      </c>
      <c r="U69" s="1">
        <f t="shared" si="22"/>
        <v>195.57123284066196</v>
      </c>
      <c r="V69" s="1">
        <f t="shared" si="23"/>
        <v>363.72343247793776</v>
      </c>
      <c r="X69" s="3"/>
      <c r="Y69" s="3"/>
    </row>
    <row r="70" spans="2:25" x14ac:dyDescent="0.35">
      <c r="B70">
        <v>9.4497905928521106</v>
      </c>
      <c r="C70">
        <v>43.857560973806102</v>
      </c>
      <c r="E70" s="2">
        <f t="shared" si="24"/>
        <v>9.3601046985939256</v>
      </c>
      <c r="F70" s="2">
        <f t="shared" si="25"/>
        <v>39.233131493693946</v>
      </c>
      <c r="H70">
        <v>10</v>
      </c>
      <c r="I70" s="1">
        <v>5.3773905786910204E-6</v>
      </c>
      <c r="J70" s="1">
        <f t="shared" si="21"/>
        <v>19.358606083287675</v>
      </c>
      <c r="K70">
        <v>10.0361618507551</v>
      </c>
      <c r="L70">
        <v>20.7689225029726</v>
      </c>
      <c r="N70" s="3">
        <v>-7.2227520303563608E-2</v>
      </c>
      <c r="O70" s="3">
        <v>0.47062796895754166</v>
      </c>
      <c r="P70" s="2">
        <v>-79.82810626283036</v>
      </c>
      <c r="Q70" s="2">
        <v>6.0485996585703532</v>
      </c>
      <c r="S70" s="2">
        <f t="shared" si="26"/>
        <v>127.05949917967577</v>
      </c>
      <c r="T70" s="2">
        <f t="shared" si="27"/>
        <v>0.23857653830407094</v>
      </c>
      <c r="U70" s="1">
        <f t="shared" si="22"/>
        <v>194.28610385688737</v>
      </c>
      <c r="V70" s="1">
        <f t="shared" si="23"/>
        <v>402.0573895093757</v>
      </c>
      <c r="X70" s="3"/>
      <c r="Y70" s="3"/>
    </row>
    <row r="72" spans="2:25" x14ac:dyDescent="0.35">
      <c r="B72" t="s">
        <v>19</v>
      </c>
      <c r="U72" t="s">
        <v>15</v>
      </c>
      <c r="V72" t="s">
        <v>28</v>
      </c>
    </row>
    <row r="73" spans="2:25" x14ac:dyDescent="0.35">
      <c r="B73" t="s">
        <v>8</v>
      </c>
      <c r="H73" t="s">
        <v>13</v>
      </c>
      <c r="I73" t="s">
        <v>3</v>
      </c>
      <c r="K73" t="s">
        <v>9</v>
      </c>
      <c r="N73" s="2" t="s">
        <v>4</v>
      </c>
      <c r="P73" s="2" t="s">
        <v>5</v>
      </c>
      <c r="S73" s="2" t="s">
        <v>6</v>
      </c>
      <c r="T73" s="2" t="s">
        <v>7</v>
      </c>
      <c r="U73" s="2" t="s">
        <v>21</v>
      </c>
      <c r="V73" s="2" t="s">
        <v>21</v>
      </c>
    </row>
    <row r="74" spans="2:25" x14ac:dyDescent="0.35">
      <c r="B74" t="s">
        <v>1</v>
      </c>
      <c r="C74" t="s">
        <v>2</v>
      </c>
      <c r="I74" t="s">
        <v>29</v>
      </c>
      <c r="J74" t="s">
        <v>30</v>
      </c>
      <c r="K74" t="s">
        <v>1</v>
      </c>
      <c r="L74" t="s">
        <v>2</v>
      </c>
      <c r="N74" s="2" t="s">
        <v>1</v>
      </c>
      <c r="O74" s="2" t="s">
        <v>2</v>
      </c>
      <c r="P74" s="2" t="s">
        <v>1</v>
      </c>
      <c r="Q74" s="2" t="s">
        <v>2</v>
      </c>
    </row>
    <row r="75" spans="2:25" x14ac:dyDescent="0.35">
      <c r="B75">
        <v>18.042593706066999</v>
      </c>
      <c r="C75">
        <v>7.6441113896399102</v>
      </c>
      <c r="H75">
        <v>1</v>
      </c>
      <c r="I75" s="1">
        <v>8.7802195738742896E-6</v>
      </c>
      <c r="J75" s="1">
        <f>I75*1000*3600</f>
        <v>31.60879046594744</v>
      </c>
      <c r="K75">
        <v>8.5880385829103094</v>
      </c>
      <c r="L75">
        <v>-7.2049467722280297E-2</v>
      </c>
      <c r="N75" s="3"/>
      <c r="O75" s="3"/>
      <c r="U75" s="1">
        <f>K75*J75</f>
        <v>271.45751208068413</v>
      </c>
      <c r="V75" s="1">
        <f>L75*J75</f>
        <v>-2.2773965284166011</v>
      </c>
      <c r="X75" s="3"/>
      <c r="Y75" s="3"/>
    </row>
    <row r="76" spans="2:25" x14ac:dyDescent="0.35">
      <c r="B76">
        <v>17.839061069221501</v>
      </c>
      <c r="C76">
        <v>12.570814954366</v>
      </c>
      <c r="H76">
        <v>2</v>
      </c>
      <c r="I76" s="1">
        <v>8.3070066821019308E-6</v>
      </c>
      <c r="J76" s="1">
        <f t="shared" ref="J76:J84" si="28">I76*1000*3600</f>
        <v>29.905224055566951</v>
      </c>
      <c r="K76">
        <v>14.5375967342124</v>
      </c>
      <c r="L76">
        <v>1.5112537090331499</v>
      </c>
      <c r="N76" s="3"/>
      <c r="O76" s="3"/>
      <c r="U76" s="1">
        <f t="shared" ref="U76:U84" si="29">K76*J76</f>
        <v>434.75008756610021</v>
      </c>
      <c r="V76" s="1">
        <f t="shared" ref="V76:V84" si="30">L76*J76</f>
        <v>45.19438077344293</v>
      </c>
      <c r="X76" s="3"/>
      <c r="Y76" s="3"/>
    </row>
    <row r="77" spans="2:25" x14ac:dyDescent="0.35">
      <c r="B77">
        <v>17.5977410328722</v>
      </c>
      <c r="C77">
        <v>17.354917216974702</v>
      </c>
      <c r="E77" s="2">
        <f>(B76+B75)/2</f>
        <v>17.940827387644248</v>
      </c>
      <c r="F77" s="2">
        <f>(C76+C75)/2</f>
        <v>10.107463172002955</v>
      </c>
      <c r="H77">
        <v>3</v>
      </c>
      <c r="I77" s="1">
        <v>7.81348406861911E-6</v>
      </c>
      <c r="J77" s="1">
        <f t="shared" si="28"/>
        <v>28.128542647028794</v>
      </c>
      <c r="K77">
        <v>15.854228342109799</v>
      </c>
      <c r="L77">
        <v>4.1982839498620104</v>
      </c>
      <c r="N77" s="3">
        <v>0.11630450482854982</v>
      </c>
      <c r="O77" s="3">
        <v>0.58463524640970288</v>
      </c>
      <c r="P77" s="2">
        <v>59.367783588530997</v>
      </c>
      <c r="Q77" s="2">
        <v>5.5512319942635369</v>
      </c>
      <c r="S77" s="2">
        <f>(1/2)*(E77*(1)^2+E77*(-1)^2+F77*(2)^2+2*F77*(-1)^2)</f>
        <v>48.263216903653117</v>
      </c>
      <c r="T77" s="2">
        <f>E77/F77</f>
        <v>1.7750079404038024</v>
      </c>
      <c r="U77" s="1">
        <f t="shared" si="29"/>
        <v>445.95633805676812</v>
      </c>
      <c r="V77" s="1">
        <f t="shared" si="30"/>
        <v>118.09160912803006</v>
      </c>
      <c r="X77" s="3"/>
      <c r="Y77" s="3"/>
    </row>
    <row r="78" spans="2:25" x14ac:dyDescent="0.35">
      <c r="B78">
        <v>17.291646431759101</v>
      </c>
      <c r="C78">
        <v>21.649551145454701</v>
      </c>
      <c r="E78" s="2">
        <f t="shared" ref="E78:E84" si="31">(B77+B76)/2</f>
        <v>17.71840105104685</v>
      </c>
      <c r="F78" s="2">
        <f t="shared" ref="F78:F84" si="32">(C77+C76)/2</f>
        <v>14.962866085670351</v>
      </c>
      <c r="H78">
        <v>4</v>
      </c>
      <c r="I78" s="1">
        <v>7.3403476290245001E-6</v>
      </c>
      <c r="J78" s="1">
        <f t="shared" si="28"/>
        <v>26.425251464488202</v>
      </c>
      <c r="K78">
        <v>16.336470757368001</v>
      </c>
      <c r="L78">
        <v>6.6260165073723201</v>
      </c>
      <c r="N78" s="3">
        <v>7.7994074617540043E-2</v>
      </c>
      <c r="O78" s="3">
        <v>0.55716929701603568</v>
      </c>
      <c r="P78" s="2">
        <v>86.773822774552912</v>
      </c>
      <c r="Q78" s="2">
        <v>5.8340100901396994</v>
      </c>
      <c r="S78" s="2">
        <f t="shared" ref="S78:S84" si="33">(1/2)*(E78*(1)^2+E78*(-1)^2+F78*(2)^2+2*F78*(-1)^2)</f>
        <v>62.606999308057901</v>
      </c>
      <c r="T78" s="2">
        <f t="shared" ref="T78:T84" si="34">E78/F78</f>
        <v>1.1841582320926753</v>
      </c>
      <c r="U78" s="1">
        <f t="shared" si="29"/>
        <v>431.69534780570746</v>
      </c>
      <c r="V78" s="1">
        <f t="shared" si="30"/>
        <v>175.09415241516339</v>
      </c>
      <c r="X78" s="3"/>
      <c r="Y78" s="3"/>
    </row>
    <row r="79" spans="2:25" x14ac:dyDescent="0.35">
      <c r="B79">
        <v>17.0446741277072</v>
      </c>
      <c r="C79">
        <v>25.917188760950101</v>
      </c>
      <c r="E79" s="2">
        <f t="shared" si="31"/>
        <v>17.444693732315649</v>
      </c>
      <c r="F79" s="2">
        <f t="shared" si="32"/>
        <v>19.502234181214703</v>
      </c>
      <c r="H79">
        <v>5</v>
      </c>
      <c r="I79" s="1">
        <v>6.9014441105964E-6</v>
      </c>
      <c r="J79" s="1">
        <f t="shared" si="28"/>
        <v>24.845198798147038</v>
      </c>
      <c r="K79">
        <v>16.9867225512745</v>
      </c>
      <c r="L79">
        <v>9.5487013786007697</v>
      </c>
      <c r="N79" s="3">
        <v>2.6252749865867453E-2</v>
      </c>
      <c r="O79" s="3">
        <v>0.51037910375425377</v>
      </c>
      <c r="P79" s="2">
        <v>255.98317353356572</v>
      </c>
      <c r="Q79" s="2">
        <v>6.6207476480995577</v>
      </c>
      <c r="S79" s="2">
        <f t="shared" si="33"/>
        <v>75.951396275959752</v>
      </c>
      <c r="T79" s="2">
        <f t="shared" si="34"/>
        <v>0.89449719299951003</v>
      </c>
      <c r="U79" s="1">
        <f t="shared" si="29"/>
        <v>422.03849871538239</v>
      </c>
      <c r="V79" s="1">
        <f t="shared" si="30"/>
        <v>237.23938401547682</v>
      </c>
      <c r="X79" s="3"/>
      <c r="Y79" s="3"/>
    </row>
    <row r="80" spans="2:25" x14ac:dyDescent="0.35">
      <c r="B80">
        <v>16.8186797694223</v>
      </c>
      <c r="C80">
        <v>29.9225649172087</v>
      </c>
      <c r="E80" s="2">
        <f t="shared" si="31"/>
        <v>17.168160279733151</v>
      </c>
      <c r="F80" s="2">
        <f t="shared" si="32"/>
        <v>23.783369953202403</v>
      </c>
      <c r="H80">
        <v>6</v>
      </c>
      <c r="I80" s="1">
        <v>6.51057375848763E-6</v>
      </c>
      <c r="J80" s="1">
        <f t="shared" si="28"/>
        <v>23.438065530555466</v>
      </c>
      <c r="K80">
        <v>16.5745954047845</v>
      </c>
      <c r="L80">
        <v>11.0793495770776</v>
      </c>
      <c r="N80" s="3">
        <v>3.4573586527459677E-2</v>
      </c>
      <c r="O80" s="3">
        <v>0.53415560541344642</v>
      </c>
      <c r="P80" s="2">
        <v>181.80005329539566</v>
      </c>
      <c r="Q80" s="2">
        <v>5.6779602426641942</v>
      </c>
      <c r="S80" s="2">
        <f t="shared" si="33"/>
        <v>88.518270139340359</v>
      </c>
      <c r="T80" s="2">
        <f t="shared" si="34"/>
        <v>0.72185566273889112</v>
      </c>
      <c r="U80" s="1">
        <f t="shared" si="29"/>
        <v>388.47645323978259</v>
      </c>
      <c r="V80" s="1">
        <f t="shared" si="30"/>
        <v>259.67852142347681</v>
      </c>
      <c r="X80" s="3"/>
      <c r="Y80" s="3"/>
    </row>
    <row r="81" spans="2:25" x14ac:dyDescent="0.35">
      <c r="B81">
        <v>16.5923945999733</v>
      </c>
      <c r="C81">
        <v>33.794410868474699</v>
      </c>
      <c r="E81" s="2">
        <f t="shared" si="31"/>
        <v>16.93167694856475</v>
      </c>
      <c r="F81" s="2">
        <f t="shared" si="32"/>
        <v>27.9198768390794</v>
      </c>
      <c r="H81">
        <v>7</v>
      </c>
      <c r="I81" s="1">
        <v>6.1759225192167198E-6</v>
      </c>
      <c r="J81" s="1">
        <f t="shared" si="28"/>
        <v>22.233321069180189</v>
      </c>
      <c r="K81">
        <v>16.351162093901898</v>
      </c>
      <c r="L81">
        <v>13.260860849290699</v>
      </c>
      <c r="N81" s="3">
        <v>3.4285727068048E-2</v>
      </c>
      <c r="O81" s="3">
        <v>0.52503870537388986</v>
      </c>
      <c r="P81" s="2">
        <v>173.95508380184381</v>
      </c>
      <c r="Q81" s="2">
        <v>5.5868722157328303</v>
      </c>
      <c r="S81" s="2">
        <f t="shared" si="33"/>
        <v>100.69130746580294</v>
      </c>
      <c r="T81" s="2">
        <f t="shared" si="34"/>
        <v>0.60643809591829978</v>
      </c>
      <c r="U81" s="1">
        <f t="shared" si="29"/>
        <v>363.54063668792952</v>
      </c>
      <c r="V81" s="1">
        <f t="shared" si="30"/>
        <v>294.8329769160016</v>
      </c>
      <c r="X81" s="3"/>
      <c r="Y81" s="3"/>
    </row>
    <row r="82" spans="2:25" x14ac:dyDescent="0.35">
      <c r="B82">
        <v>16.360897285023398</v>
      </c>
      <c r="C82">
        <v>37.416426038529302</v>
      </c>
      <c r="E82" s="2">
        <f t="shared" si="31"/>
        <v>16.7055371846978</v>
      </c>
      <c r="F82" s="2">
        <f t="shared" si="32"/>
        <v>31.858487892841701</v>
      </c>
      <c r="H82">
        <v>8</v>
      </c>
      <c r="I82" s="1">
        <v>5.8901519926502404E-6</v>
      </c>
      <c r="J82" s="1">
        <f t="shared" si="28"/>
        <v>21.204547173540867</v>
      </c>
      <c r="K82">
        <v>16.2768931471218</v>
      </c>
      <c r="L82">
        <v>15.4383564406579</v>
      </c>
      <c r="N82" s="3">
        <v>2.5658800003667936E-2</v>
      </c>
      <c r="O82" s="3">
        <v>0.51540837428989361</v>
      </c>
      <c r="P82" s="2">
        <v>223.66664691486807</v>
      </c>
      <c r="Q82" s="2">
        <v>5.537974298012819</v>
      </c>
      <c r="S82" s="2">
        <f t="shared" si="33"/>
        <v>112.28100086322291</v>
      </c>
      <c r="T82" s="2">
        <f t="shared" si="34"/>
        <v>0.52436692039145316</v>
      </c>
      <c r="U82" s="1">
        <f t="shared" si="29"/>
        <v>345.14414857682829</v>
      </c>
      <c r="V82" s="1">
        <f t="shared" si="30"/>
        <v>327.36335742786889</v>
      </c>
      <c r="X82" s="3"/>
      <c r="Y82" s="3"/>
    </row>
    <row r="83" spans="2:25" x14ac:dyDescent="0.35">
      <c r="B83">
        <v>15.9148426232888</v>
      </c>
      <c r="C83">
        <v>40.4044387063987</v>
      </c>
      <c r="E83" s="2">
        <f t="shared" si="31"/>
        <v>16.476645942498351</v>
      </c>
      <c r="F83" s="2">
        <f t="shared" si="32"/>
        <v>35.605418453501997</v>
      </c>
      <c r="H83">
        <v>9</v>
      </c>
      <c r="I83" s="1">
        <v>5.6897430832817897E-6</v>
      </c>
      <c r="J83" s="1">
        <f t="shared" si="28"/>
        <v>20.483075099814442</v>
      </c>
      <c r="K83">
        <v>16.337394924095801</v>
      </c>
      <c r="L83">
        <v>17.271997772264701</v>
      </c>
      <c r="N83" s="3">
        <v>8.4514177757124553E-3</v>
      </c>
      <c r="O83" s="3">
        <v>0.51490535647486824</v>
      </c>
      <c r="P83" s="2">
        <v>667.53967643883755</v>
      </c>
      <c r="Q83" s="2">
        <v>5.3603324533853023</v>
      </c>
      <c r="S83" s="2">
        <f t="shared" si="33"/>
        <v>123.29290130300434</v>
      </c>
      <c r="T83" s="2">
        <f t="shared" si="34"/>
        <v>0.46275669991115576</v>
      </c>
      <c r="U83" s="1">
        <f t="shared" si="29"/>
        <v>334.64008716558158</v>
      </c>
      <c r="V83" s="1">
        <f t="shared" si="30"/>
        <v>353.78362749312561</v>
      </c>
      <c r="X83" s="3"/>
      <c r="Y83" s="3"/>
    </row>
    <row r="84" spans="2:25" x14ac:dyDescent="0.35">
      <c r="B84">
        <v>15.803441508757301</v>
      </c>
      <c r="C84">
        <v>42.893226731177997</v>
      </c>
      <c r="E84" s="2">
        <f t="shared" si="31"/>
        <v>16.137869954156098</v>
      </c>
      <c r="F84" s="2">
        <f t="shared" si="32"/>
        <v>38.910432372464001</v>
      </c>
      <c r="H84">
        <v>10</v>
      </c>
      <c r="I84" s="1">
        <v>5.5825338535326103E-6</v>
      </c>
      <c r="J84" s="1">
        <f t="shared" si="28"/>
        <v>20.097121872717398</v>
      </c>
      <c r="K84">
        <v>18.045128455307999</v>
      </c>
      <c r="L84">
        <v>22.468143014115199</v>
      </c>
      <c r="N84" s="3">
        <v>-0.11818526897105852</v>
      </c>
      <c r="O84" s="3">
        <v>0.4225676343289525</v>
      </c>
      <c r="Q84" s="2">
        <v>7.6284491939452392</v>
      </c>
      <c r="S84" s="2">
        <f t="shared" si="33"/>
        <v>132.86916707154811</v>
      </c>
      <c r="T84" s="2">
        <f t="shared" si="34"/>
        <v>0.41474404087003902</v>
      </c>
      <c r="U84" s="1">
        <f t="shared" si="29"/>
        <v>362.65514577516552</v>
      </c>
      <c r="V84" s="1">
        <f t="shared" si="30"/>
        <v>451.54500840831719</v>
      </c>
      <c r="X84" s="3"/>
      <c r="Y84" s="3"/>
    </row>
    <row r="86" spans="2:25" x14ac:dyDescent="0.35">
      <c r="B86" t="s">
        <v>18</v>
      </c>
      <c r="U86" t="s">
        <v>15</v>
      </c>
      <c r="V86" t="s">
        <v>28</v>
      </c>
    </row>
    <row r="87" spans="2:25" x14ac:dyDescent="0.35">
      <c r="B87" t="s">
        <v>8</v>
      </c>
      <c r="H87" t="s">
        <v>13</v>
      </c>
      <c r="I87" t="s">
        <v>3</v>
      </c>
      <c r="K87" t="s">
        <v>9</v>
      </c>
      <c r="N87" s="2" t="s">
        <v>4</v>
      </c>
      <c r="P87" s="2" t="s">
        <v>5</v>
      </c>
      <c r="S87" s="2" t="s">
        <v>6</v>
      </c>
      <c r="T87" s="2" t="s">
        <v>7</v>
      </c>
      <c r="U87" s="2" t="s">
        <v>21</v>
      </c>
    </row>
    <row r="88" spans="2:25" x14ac:dyDescent="0.35">
      <c r="B88" t="s">
        <v>1</v>
      </c>
      <c r="C88" t="s">
        <v>2</v>
      </c>
      <c r="I88" t="s">
        <v>29</v>
      </c>
      <c r="J88" t="s">
        <v>30</v>
      </c>
      <c r="K88" t="s">
        <v>1</v>
      </c>
      <c r="L88" t="s">
        <v>2</v>
      </c>
      <c r="N88" s="2" t="s">
        <v>1</v>
      </c>
      <c r="O88" s="2" t="s">
        <v>2</v>
      </c>
      <c r="P88" s="2" t="s">
        <v>1</v>
      </c>
      <c r="Q88" s="2" t="s">
        <v>2</v>
      </c>
    </row>
    <row r="89" spans="2:25" x14ac:dyDescent="0.35">
      <c r="B89">
        <v>14.7912096980972</v>
      </c>
      <c r="C89">
        <v>8.3748249396173904</v>
      </c>
      <c r="H89">
        <v>1</v>
      </c>
      <c r="I89" s="1">
        <v>7.7972157521586603E-6</v>
      </c>
      <c r="J89" s="1">
        <f>I89*1000*3600</f>
        <v>28.069976707771179</v>
      </c>
      <c r="K89">
        <v>5.59041580694615</v>
      </c>
      <c r="L89">
        <v>0.24956329700379901</v>
      </c>
      <c r="N89" s="3"/>
      <c r="O89" s="3"/>
      <c r="U89" s="1">
        <f>K89*J89</f>
        <v>156.92284148773425</v>
      </c>
      <c r="V89" s="1">
        <f>L89*J89</f>
        <v>7.0052359340112194</v>
      </c>
      <c r="X89" s="3"/>
      <c r="Y89" s="3"/>
    </row>
    <row r="90" spans="2:25" x14ac:dyDescent="0.35">
      <c r="B90">
        <v>18.528954446688999</v>
      </c>
      <c r="C90">
        <v>13.4046538060431</v>
      </c>
      <c r="H90">
        <v>2</v>
      </c>
      <c r="I90" s="1">
        <v>7.2916007472761802E-6</v>
      </c>
      <c r="J90" s="1">
        <f t="shared" ref="J90:J98" si="35">I90*1000*3600</f>
        <v>26.249762690194249</v>
      </c>
      <c r="K90">
        <v>9.6217683276443395</v>
      </c>
      <c r="L90">
        <v>1.6727744028842899</v>
      </c>
      <c r="N90" s="3"/>
      <c r="O90" s="3"/>
      <c r="U90" s="1">
        <f t="shared" ref="U90:U98" si="36">K90*J90</f>
        <v>252.5691352606911</v>
      </c>
      <c r="V90" s="1">
        <f t="shared" ref="V90:V98" si="37">L90*J90</f>
        <v>43.909931109943997</v>
      </c>
      <c r="X90" s="3"/>
      <c r="Y90" s="3"/>
    </row>
    <row r="91" spans="2:25" x14ac:dyDescent="0.35">
      <c r="B91">
        <v>21.864051453355302</v>
      </c>
      <c r="C91">
        <v>18.130022365780199</v>
      </c>
      <c r="E91" s="2">
        <f>(B90+B89)/2</f>
        <v>16.660082072393099</v>
      </c>
      <c r="F91" s="2">
        <f>(C90+C89)/2</f>
        <v>10.889739372830245</v>
      </c>
      <c r="H91">
        <v>3</v>
      </c>
      <c r="I91" s="1">
        <v>6.7557610540038203E-6</v>
      </c>
      <c r="J91" s="1">
        <f t="shared" si="35"/>
        <v>24.320739794413754</v>
      </c>
      <c r="K91">
        <v>12.746260516079801</v>
      </c>
      <c r="L91">
        <v>3.78810255319903</v>
      </c>
      <c r="N91" s="3">
        <v>0.23492210538378855</v>
      </c>
      <c r="O91" s="3">
        <v>0.65214020065068823</v>
      </c>
      <c r="P91" s="2">
        <v>22.001690455155096</v>
      </c>
      <c r="Q91" s="2">
        <v>3.6036080621204447</v>
      </c>
      <c r="S91" s="2">
        <f>(1/2)*(E91*(1)^2+E91*(-1)^2+F91*(2)^2+2*F91*(-1)^2)</f>
        <v>49.329300190883842</v>
      </c>
      <c r="T91" s="2">
        <f>E91/F91</f>
        <v>1.5298880443327947</v>
      </c>
      <c r="U91" s="1">
        <f t="shared" si="36"/>
        <v>309.99848536338681</v>
      </c>
      <c r="V91" s="1">
        <f t="shared" si="37"/>
        <v>92.129456510908</v>
      </c>
      <c r="X91" s="3"/>
      <c r="Y91" s="3"/>
    </row>
    <row r="92" spans="2:25" x14ac:dyDescent="0.35">
      <c r="B92">
        <v>24.865006783657201</v>
      </c>
      <c r="C92">
        <v>22.6265624342991</v>
      </c>
      <c r="E92" s="2">
        <f t="shared" ref="E92:E98" si="38">(B91+B90)/2</f>
        <v>20.19650295002215</v>
      </c>
      <c r="F92" s="2">
        <f t="shared" ref="F92:F98" si="39">(C91+C90)/2</f>
        <v>15.76733808591165</v>
      </c>
      <c r="H92">
        <v>4</v>
      </c>
      <c r="I92" s="1">
        <v>6.2432056789138099E-6</v>
      </c>
      <c r="J92" s="1">
        <f t="shared" si="35"/>
        <v>22.475540444089713</v>
      </c>
      <c r="K92">
        <v>16.449180374491601</v>
      </c>
      <c r="L92">
        <v>6.5050653312141904</v>
      </c>
      <c r="N92" s="3">
        <v>0.1855431400576425</v>
      </c>
      <c r="O92" s="3">
        <v>0.58743414419288931</v>
      </c>
      <c r="P92" s="2">
        <v>27.405064351302556</v>
      </c>
      <c r="Q92" s="2">
        <v>4.3847187286667566</v>
      </c>
      <c r="S92" s="2">
        <f t="shared" ref="S92:S98" si="40">(1/2)*(E92*(1)^2+E92*(-1)^2+F92*(2)^2+2*F92*(-1)^2)</f>
        <v>67.498517207757104</v>
      </c>
      <c r="T92" s="2">
        <f t="shared" ref="T92:T98" si="41">E92/F92</f>
        <v>1.2809075850328868</v>
      </c>
      <c r="U92" s="1">
        <f t="shared" si="36"/>
        <v>369.70421877901276</v>
      </c>
      <c r="V92" s="1">
        <f t="shared" si="37"/>
        <v>146.20485894315038</v>
      </c>
      <c r="X92" s="3"/>
      <c r="Y92" s="3"/>
    </row>
    <row r="93" spans="2:25" x14ac:dyDescent="0.35">
      <c r="B93">
        <v>27.691372931305601</v>
      </c>
      <c r="C93">
        <v>27.061291872168098</v>
      </c>
      <c r="E93" s="2">
        <f t="shared" si="38"/>
        <v>23.364529118506251</v>
      </c>
      <c r="F93" s="2">
        <f t="shared" si="39"/>
        <v>20.378292400039648</v>
      </c>
      <c r="H93">
        <v>5</v>
      </c>
      <c r="I93" s="1">
        <v>5.7906109998808303E-6</v>
      </c>
      <c r="J93" s="1">
        <f t="shared" si="35"/>
        <v>20.846199599570987</v>
      </c>
      <c r="K93">
        <v>19.359788598500302</v>
      </c>
      <c r="L93">
        <v>8.2350995638157407</v>
      </c>
      <c r="N93" s="3">
        <v>0.17140257780046297</v>
      </c>
      <c r="O93" s="3">
        <v>0.59588863472192988</v>
      </c>
      <c r="P93" s="2">
        <v>27.993075769532449</v>
      </c>
      <c r="Q93" s="2">
        <v>3.9269950467305565</v>
      </c>
      <c r="S93" s="2">
        <f t="shared" si="40"/>
        <v>84.499406318625205</v>
      </c>
      <c r="T93" s="2">
        <f t="shared" si="41"/>
        <v>1.1465400858837806</v>
      </c>
      <c r="U93" s="1">
        <f t="shared" si="36"/>
        <v>403.57801732983597</v>
      </c>
      <c r="V93" s="1">
        <f t="shared" si="37"/>
        <v>171.67052922964291</v>
      </c>
      <c r="X93" s="3"/>
      <c r="Y93" s="3"/>
    </row>
    <row r="94" spans="2:25" x14ac:dyDescent="0.35">
      <c r="B94">
        <v>30.012524514864499</v>
      </c>
      <c r="C94">
        <v>31.1696625912295</v>
      </c>
      <c r="E94" s="2">
        <f t="shared" si="38"/>
        <v>26.278189857481401</v>
      </c>
      <c r="F94" s="2">
        <f t="shared" si="39"/>
        <v>24.843927153233601</v>
      </c>
      <c r="H94">
        <v>6</v>
      </c>
      <c r="I94" s="1">
        <v>5.4132759811306001E-6</v>
      </c>
      <c r="J94" s="1">
        <f t="shared" si="35"/>
        <v>19.48779353207016</v>
      </c>
      <c r="K94">
        <v>22.382706202247299</v>
      </c>
      <c r="L94">
        <v>10.664934823750899</v>
      </c>
      <c r="N94" s="3">
        <v>0.14824018230940128</v>
      </c>
      <c r="O94" s="3">
        <v>0.57072266562483509</v>
      </c>
      <c r="P94" s="2">
        <v>31.103651459178511</v>
      </c>
      <c r="Q94" s="2">
        <v>4.0716740781141487</v>
      </c>
      <c r="S94" s="2">
        <f t="shared" si="40"/>
        <v>100.8099713171822</v>
      </c>
      <c r="T94" s="2">
        <f t="shared" si="41"/>
        <v>1.0577309173143796</v>
      </c>
      <c r="U94" s="1">
        <f t="shared" si="36"/>
        <v>436.18955715838155</v>
      </c>
      <c r="V94" s="1">
        <f t="shared" si="37"/>
        <v>207.8360478782426</v>
      </c>
      <c r="X94" s="3"/>
      <c r="Y94" s="3"/>
    </row>
    <row r="95" spans="2:25" x14ac:dyDescent="0.35">
      <c r="B95">
        <v>31.967266961110798</v>
      </c>
      <c r="C95">
        <v>34.9579416025434</v>
      </c>
      <c r="E95" s="2">
        <f t="shared" si="38"/>
        <v>28.851948723085052</v>
      </c>
      <c r="F95" s="2">
        <f t="shared" si="39"/>
        <v>29.115477231698797</v>
      </c>
      <c r="H95">
        <v>7</v>
      </c>
      <c r="I95" s="1">
        <v>5.0850786204893603E-6</v>
      </c>
      <c r="J95" s="1">
        <f t="shared" si="35"/>
        <v>18.306283033761698</v>
      </c>
      <c r="K95">
        <v>26.090004965628999</v>
      </c>
      <c r="L95">
        <v>12.394569326220299</v>
      </c>
      <c r="N95" s="3">
        <v>9.5728152852502579E-2</v>
      </c>
      <c r="O95" s="3">
        <v>0.57429619897399453</v>
      </c>
      <c r="P95" s="2">
        <v>48.0349124058122</v>
      </c>
      <c r="Q95" s="2">
        <v>3.76937423776406</v>
      </c>
      <c r="S95" s="2">
        <f t="shared" si="40"/>
        <v>116.19838041818144</v>
      </c>
      <c r="T95" s="2">
        <f t="shared" si="41"/>
        <v>0.99094885148140954</v>
      </c>
      <c r="U95" s="1">
        <f t="shared" si="36"/>
        <v>477.61101525305259</v>
      </c>
      <c r="V95" s="1">
        <f t="shared" si="37"/>
        <v>226.89849416736982</v>
      </c>
      <c r="X95" s="3"/>
      <c r="Y95" s="3"/>
    </row>
    <row r="96" spans="2:25" x14ac:dyDescent="0.35">
      <c r="B96">
        <v>33.782192418026703</v>
      </c>
      <c r="C96">
        <v>38.7239757579719</v>
      </c>
      <c r="E96" s="2">
        <f t="shared" si="38"/>
        <v>30.989895737987649</v>
      </c>
      <c r="F96" s="2">
        <f t="shared" si="39"/>
        <v>33.063802096886448</v>
      </c>
      <c r="H96">
        <v>8</v>
      </c>
      <c r="I96" s="1">
        <v>4.8327723058145902E-6</v>
      </c>
      <c r="J96" s="1">
        <f t="shared" si="35"/>
        <v>17.397980300932527</v>
      </c>
      <c r="K96">
        <v>29.3021358582467</v>
      </c>
      <c r="L96">
        <v>14.563349885923699</v>
      </c>
      <c r="N96" s="3">
        <v>5.4461618522713473E-2</v>
      </c>
      <c r="O96" s="3">
        <v>0.55953795503466619</v>
      </c>
      <c r="P96" s="2">
        <v>83.904441844349847</v>
      </c>
      <c r="Q96" s="2">
        <v>3.8043045221821385</v>
      </c>
      <c r="S96" s="2">
        <f t="shared" si="40"/>
        <v>130.181302028647</v>
      </c>
      <c r="T96" s="2">
        <f t="shared" si="41"/>
        <v>0.93727562387345353</v>
      </c>
      <c r="U96" s="1">
        <f t="shared" si="36"/>
        <v>509.7979824370247</v>
      </c>
      <c r="V96" s="1">
        <f t="shared" si="37"/>
        <v>253.37287443088849</v>
      </c>
      <c r="X96" s="3"/>
      <c r="Y96" s="3"/>
    </row>
    <row r="97" spans="2:25" x14ac:dyDescent="0.35">
      <c r="B97">
        <v>35.192142060944697</v>
      </c>
      <c r="C97">
        <v>42.084231655287198</v>
      </c>
      <c r="E97" s="2">
        <f t="shared" si="38"/>
        <v>32.874729689568753</v>
      </c>
      <c r="F97" s="2">
        <f t="shared" si="39"/>
        <v>36.84095868025765</v>
      </c>
      <c r="H97">
        <v>9</v>
      </c>
      <c r="I97" s="1">
        <v>4.7108807203705604E-6</v>
      </c>
      <c r="J97" s="1">
        <f t="shared" si="35"/>
        <v>16.959170593334019</v>
      </c>
      <c r="K97">
        <v>31.6818532358153</v>
      </c>
      <c r="L97">
        <v>16.4288952459993</v>
      </c>
      <c r="N97" s="3">
        <v>3.6285513676237335E-2</v>
      </c>
      <c r="O97" s="3">
        <v>0.55405896495296081</v>
      </c>
      <c r="P97" s="2">
        <v>125.11725847600584</v>
      </c>
      <c r="Q97" s="2">
        <v>3.7916091198046828</v>
      </c>
      <c r="S97" s="2">
        <f t="shared" si="40"/>
        <v>143.3976057303417</v>
      </c>
      <c r="T97" s="2">
        <f t="shared" si="41"/>
        <v>0.89234186262328941</v>
      </c>
      <c r="U97" s="1">
        <f t="shared" si="36"/>
        <v>537.29795373916306</v>
      </c>
      <c r="V97" s="1">
        <f t="shared" si="37"/>
        <v>278.62043713691639</v>
      </c>
      <c r="X97" s="3"/>
      <c r="Y97" s="3"/>
    </row>
    <row r="98" spans="2:25" x14ac:dyDescent="0.35">
      <c r="B98">
        <v>36.533010831730302</v>
      </c>
      <c r="C98">
        <v>45.323491826396797</v>
      </c>
      <c r="E98" s="2">
        <f t="shared" si="38"/>
        <v>34.4871672394857</v>
      </c>
      <c r="F98" s="2">
        <f t="shared" si="39"/>
        <v>40.404103706629549</v>
      </c>
      <c r="H98">
        <v>10</v>
      </c>
      <c r="I98" s="1">
        <v>4.7227640456165102E-6</v>
      </c>
      <c r="J98" s="1">
        <f t="shared" si="35"/>
        <v>17.001950564219438</v>
      </c>
      <c r="K98">
        <v>34.527844538482498</v>
      </c>
      <c r="L98">
        <v>18.340210161682698</v>
      </c>
      <c r="N98" s="3">
        <v>-1.1794908730637932E-3</v>
      </c>
      <c r="O98" s="3">
        <v>0.54608050967175847</v>
      </c>
      <c r="Q98" s="2">
        <v>3.9257117046996819</v>
      </c>
      <c r="S98" s="2">
        <f t="shared" si="40"/>
        <v>155.69947835937435</v>
      </c>
      <c r="T98" s="2">
        <f t="shared" si="41"/>
        <v>0.85355605187764649</v>
      </c>
      <c r="U98" s="1">
        <f t="shared" si="36"/>
        <v>587.04070593233359</v>
      </c>
      <c r="V98" s="1">
        <f t="shared" si="37"/>
        <v>311.81934650632422</v>
      </c>
      <c r="X98" s="3"/>
      <c r="Y9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MixedSalt_Na,Ca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Jonathan Ouimet</cp:lastModifiedBy>
  <dcterms:created xsi:type="dcterms:W3CDTF">2024-06-01T20:07:34Z</dcterms:created>
  <dcterms:modified xsi:type="dcterms:W3CDTF">2024-09-07T19:02:35Z</dcterms:modified>
</cp:coreProperties>
</file>