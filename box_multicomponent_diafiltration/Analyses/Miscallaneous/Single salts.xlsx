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i\AppData\Local\Box\Box Edit\Documents\4n0KCzVTUE6eGYzfgf+C1A==\"/>
    </mc:Choice>
  </mc:AlternateContent>
  <xr:revisionPtr revIDLastSave="0" documentId="13_ncr:1_{209AAAEB-A235-44A0-B32A-E3D36BE537C5}" xr6:coauthVersionLast="47" xr6:coauthVersionMax="47" xr10:uidLastSave="{00000000-0000-0000-0000-000000000000}"/>
  <bookViews>
    <workbookView xWindow="-96" yWindow="-96" windowWidth="23232" windowHeight="12432" activeTab="1" xr2:uid="{1FDBD967-DC43-43D1-B846-2EEE87A91162}"/>
  </bookViews>
  <sheets>
    <sheet name="Consolidate Data" sheetId="15" r:id="rId1"/>
    <sheet name="NF270_MC2 05.07.24_NaCl" sheetId="1" r:id="rId2"/>
    <sheet name="NF270_MC3 07.22.24_SNaCl" sheetId="3" r:id="rId3"/>
    <sheet name="NF270_MC4 07.11.24_SNaCl" sheetId="5" r:id="rId4"/>
    <sheet name="NF270_MC5 07.23.24_NaCl" sheetId="6" r:id="rId5"/>
    <sheet name="NF270_MC5 07.23.24_SNaCl" sheetId="7" r:id="rId6"/>
    <sheet name="NF270_MC5 07.23.24_S2NaCl" sheetId="8" r:id="rId7"/>
    <sheet name="NF270_MC2 05.07.24_CaCl2" sheetId="9" r:id="rId8"/>
    <sheet name="NF270_MC3 07.11.24_CaCl2" sheetId="10" r:id="rId9"/>
    <sheet name="NF270_MC3 07.11.24_SCaCl2" sheetId="11" r:id="rId10"/>
    <sheet name="NF270_MC3 07.12.24_S2CaCl2" sheetId="12" r:id="rId11"/>
    <sheet name="NF270_MC2 05.21.24_LaCl3" sheetId="13" r:id="rId12"/>
    <sheet name="NF270_MC4 07.11.24_SLaCl3" sheetId="1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4" l="1"/>
  <c r="L11" i="14" s="1"/>
  <c r="K10" i="14"/>
  <c r="L10" i="14" s="1"/>
  <c r="K9" i="14"/>
  <c r="L9" i="14" s="1"/>
  <c r="K8" i="14"/>
  <c r="L8" i="14" s="1"/>
  <c r="K7" i="14"/>
  <c r="L7" i="14" s="1"/>
  <c r="K6" i="14"/>
  <c r="L6" i="14" s="1"/>
  <c r="K5" i="14"/>
  <c r="L5" i="14" s="1"/>
  <c r="K4" i="14"/>
  <c r="L4" i="14" s="1"/>
  <c r="K3" i="14"/>
  <c r="L3" i="14" s="1"/>
  <c r="K2" i="14"/>
  <c r="L2" i="14" s="1"/>
  <c r="K11" i="13"/>
  <c r="L11" i="13" s="1"/>
  <c r="K10" i="13"/>
  <c r="L10" i="13" s="1"/>
  <c r="K9" i="13"/>
  <c r="L9" i="13" s="1"/>
  <c r="K8" i="13"/>
  <c r="L8" i="13" s="1"/>
  <c r="K7" i="13"/>
  <c r="L7" i="13" s="1"/>
  <c r="K6" i="13"/>
  <c r="L6" i="13" s="1"/>
  <c r="K5" i="13"/>
  <c r="L5" i="13" s="1"/>
  <c r="K4" i="13"/>
  <c r="L4" i="13" s="1"/>
  <c r="K3" i="13"/>
  <c r="L3" i="13" s="1"/>
  <c r="K2" i="13"/>
  <c r="L2" i="13" s="1"/>
  <c r="K11" i="12"/>
  <c r="L11" i="12" s="1"/>
  <c r="K10" i="12"/>
  <c r="L10" i="12" s="1"/>
  <c r="K9" i="12"/>
  <c r="L9" i="12" s="1"/>
  <c r="K8" i="12"/>
  <c r="L8" i="12" s="1"/>
  <c r="K7" i="12"/>
  <c r="L7" i="12" s="1"/>
  <c r="K6" i="12"/>
  <c r="L6" i="12" s="1"/>
  <c r="K5" i="12"/>
  <c r="L5" i="12" s="1"/>
  <c r="K4" i="12"/>
  <c r="L4" i="12" s="1"/>
  <c r="K3" i="12"/>
  <c r="L3" i="12" s="1"/>
  <c r="K2" i="12"/>
  <c r="L2" i="12" s="1"/>
  <c r="K11" i="11"/>
  <c r="L11" i="11" s="1"/>
  <c r="K10" i="11"/>
  <c r="L10" i="11" s="1"/>
  <c r="K9" i="11"/>
  <c r="L9" i="11" s="1"/>
  <c r="K8" i="11"/>
  <c r="L8" i="11" s="1"/>
  <c r="K7" i="11"/>
  <c r="L7" i="11" s="1"/>
  <c r="K6" i="11"/>
  <c r="L6" i="11" s="1"/>
  <c r="K5" i="11"/>
  <c r="L5" i="11" s="1"/>
  <c r="K4" i="11"/>
  <c r="L4" i="11" s="1"/>
  <c r="K3" i="11"/>
  <c r="L3" i="11" s="1"/>
  <c r="K2" i="11"/>
  <c r="L2" i="11" s="1"/>
  <c r="K11" i="10"/>
  <c r="L11" i="10" s="1"/>
  <c r="K10" i="10"/>
  <c r="L10" i="10" s="1"/>
  <c r="K9" i="10"/>
  <c r="L9" i="10" s="1"/>
  <c r="K8" i="10"/>
  <c r="L8" i="10" s="1"/>
  <c r="K7" i="10"/>
  <c r="L7" i="10" s="1"/>
  <c r="K6" i="10"/>
  <c r="L6" i="10" s="1"/>
  <c r="K5" i="10"/>
  <c r="L5" i="10" s="1"/>
  <c r="K4" i="10"/>
  <c r="L4" i="10" s="1"/>
  <c r="K3" i="10"/>
  <c r="L3" i="10" s="1"/>
  <c r="K2" i="10"/>
  <c r="L2" i="10" s="1"/>
  <c r="K11" i="9"/>
  <c r="L11" i="9" s="1"/>
  <c r="K10" i="9"/>
  <c r="L10" i="9" s="1"/>
  <c r="K9" i="9"/>
  <c r="L9" i="9" s="1"/>
  <c r="L8" i="9"/>
  <c r="K8" i="9"/>
  <c r="K7" i="9"/>
  <c r="L7" i="9" s="1"/>
  <c r="K6" i="9"/>
  <c r="L6" i="9" s="1"/>
  <c r="K5" i="9"/>
  <c r="L5" i="9" s="1"/>
  <c r="K4" i="9"/>
  <c r="L4" i="9" s="1"/>
  <c r="K3" i="9"/>
  <c r="L3" i="9" s="1"/>
  <c r="K2" i="9"/>
  <c r="L2" i="9" s="1"/>
  <c r="K11" i="8"/>
  <c r="L11" i="8" s="1"/>
  <c r="K10" i="8"/>
  <c r="L10" i="8" s="1"/>
  <c r="K9" i="8"/>
  <c r="L9" i="8" s="1"/>
  <c r="K8" i="8"/>
  <c r="L8" i="8" s="1"/>
  <c r="K7" i="8"/>
  <c r="L7" i="8" s="1"/>
  <c r="K6" i="8"/>
  <c r="L6" i="8" s="1"/>
  <c r="K5" i="8"/>
  <c r="L5" i="8" s="1"/>
  <c r="K4" i="8"/>
  <c r="L4" i="8" s="1"/>
  <c r="K3" i="8"/>
  <c r="L3" i="8" s="1"/>
  <c r="K2" i="8"/>
  <c r="L2" i="8" s="1"/>
  <c r="K11" i="7"/>
  <c r="L11" i="7" s="1"/>
  <c r="K10" i="7"/>
  <c r="L10" i="7" s="1"/>
  <c r="K9" i="7"/>
  <c r="L9" i="7" s="1"/>
  <c r="K8" i="7"/>
  <c r="L8" i="7" s="1"/>
  <c r="K7" i="7"/>
  <c r="L7" i="7" s="1"/>
  <c r="K6" i="7"/>
  <c r="L6" i="7" s="1"/>
  <c r="K5" i="7"/>
  <c r="L5" i="7" s="1"/>
  <c r="K4" i="7"/>
  <c r="L4" i="7" s="1"/>
  <c r="K3" i="7"/>
  <c r="L3" i="7" s="1"/>
  <c r="K2" i="7"/>
  <c r="L2" i="7" s="1"/>
  <c r="K11" i="6"/>
  <c r="L11" i="6" s="1"/>
  <c r="K10" i="6"/>
  <c r="L10" i="6" s="1"/>
  <c r="K9" i="6"/>
  <c r="L9" i="6" s="1"/>
  <c r="K8" i="6"/>
  <c r="L8" i="6" s="1"/>
  <c r="K7" i="6"/>
  <c r="L7" i="6" s="1"/>
  <c r="K6" i="6"/>
  <c r="L6" i="6" s="1"/>
  <c r="K5" i="6"/>
  <c r="L5" i="6" s="1"/>
  <c r="K4" i="6"/>
  <c r="L4" i="6" s="1"/>
  <c r="K3" i="6"/>
  <c r="L3" i="6" s="1"/>
  <c r="K2" i="6"/>
  <c r="L2" i="6" s="1"/>
  <c r="K11" i="5"/>
  <c r="L11" i="5" s="1"/>
  <c r="K10" i="5"/>
  <c r="L10" i="5" s="1"/>
  <c r="K9" i="5"/>
  <c r="L9" i="5" s="1"/>
  <c r="K8" i="5"/>
  <c r="L8" i="5" s="1"/>
  <c r="K7" i="5"/>
  <c r="L7" i="5" s="1"/>
  <c r="K6" i="5"/>
  <c r="L6" i="5" s="1"/>
  <c r="K5" i="5"/>
  <c r="L5" i="5" s="1"/>
  <c r="K4" i="5"/>
  <c r="L4" i="5" s="1"/>
  <c r="K3" i="5"/>
  <c r="L3" i="5" s="1"/>
  <c r="K2" i="5"/>
  <c r="L2" i="5" s="1"/>
  <c r="K11" i="3"/>
  <c r="L11" i="3" s="1"/>
  <c r="K10" i="3"/>
  <c r="L10" i="3" s="1"/>
  <c r="K9" i="3"/>
  <c r="L9" i="3" s="1"/>
  <c r="K8" i="3"/>
  <c r="L8" i="3" s="1"/>
  <c r="K7" i="3"/>
  <c r="L7" i="3" s="1"/>
  <c r="K6" i="3"/>
  <c r="L6" i="3" s="1"/>
  <c r="K5" i="3"/>
  <c r="L5" i="3" s="1"/>
  <c r="K4" i="3"/>
  <c r="L4" i="3" s="1"/>
  <c r="K3" i="3"/>
  <c r="L3" i="3" s="1"/>
  <c r="K2" i="3"/>
  <c r="L2" i="3" s="1"/>
  <c r="K11" i="1"/>
  <c r="L11" i="1" s="1"/>
  <c r="K10" i="1"/>
  <c r="L10" i="1" s="1"/>
  <c r="K9" i="1"/>
  <c r="L9" i="1" s="1"/>
  <c r="K8" i="1"/>
  <c r="L8" i="1" s="1"/>
  <c r="K7" i="1"/>
  <c r="L7" i="1" s="1"/>
  <c r="K6" i="1"/>
  <c r="L6" i="1" s="1"/>
  <c r="K5" i="1"/>
  <c r="L5" i="1" s="1"/>
  <c r="K4" i="1"/>
  <c r="L4" i="1" s="1"/>
  <c r="K3" i="1"/>
  <c r="L3" i="1" s="1"/>
  <c r="K2" i="1"/>
  <c r="L2" i="1" s="1"/>
</calcChain>
</file>

<file path=xl/sharedStrings.xml><?xml version="1.0" encoding="utf-8"?>
<sst xmlns="http://schemas.openxmlformats.org/spreadsheetml/2006/main" count="144" uniqueCount="20">
  <si>
    <t>Ionic Strength (mM)</t>
  </si>
  <si>
    <t>NaCl Retentate Concentration (mM)</t>
  </si>
  <si>
    <t>CaCl2 Retentate Concentration (mM)</t>
  </si>
  <si>
    <t>NaCl Rejection</t>
  </si>
  <si>
    <t>CaCl2 Rejection</t>
  </si>
  <si>
    <t>*these are vial values from ICP and SC mass balances</t>
  </si>
  <si>
    <t>LaCl3 Retentate Concentration (mM)</t>
  </si>
  <si>
    <t>LaCl3 Rejection</t>
  </si>
  <si>
    <t>Jw (m3/m2*s)</t>
  </si>
  <si>
    <t>Jw (um2/m2*s)</t>
  </si>
  <si>
    <t>B (um/s)</t>
  </si>
  <si>
    <t>NaCl permeate concentration (mM)</t>
  </si>
  <si>
    <t>LaCl3 permeate concentration (mM)</t>
  </si>
  <si>
    <t>CaCl2 permeate concentration (mM)</t>
  </si>
  <si>
    <t>Na:salt 2 ratio</t>
  </si>
  <si>
    <t>Salt 2 Rejection</t>
  </si>
  <si>
    <t>Salt 2 permeate concentration (mM)</t>
  </si>
  <si>
    <t>Salt 2 Retentate Concentration (mM)</t>
  </si>
  <si>
    <t>La:salt 2 ratio</t>
  </si>
  <si>
    <t>Ca:salt 2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</si>
</sst>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25569709163594"/>
          <c:y val="5.0961315728515172E-2"/>
          <c:w val="0.79781601914183398"/>
          <c:h val="0.86469752434524561"/>
        </c:manualLayout>
      </c:layout>
      <c:scatterChart>
        <c:scatterStyle val="lineMarker"/>
        <c:varyColors val="0"/>
        <c:ser>
          <c:idx val="0"/>
          <c:order val="0"/>
          <c:tx>
            <c:v>05.07.24_NaCl MC2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'NF270_MC2 05.07.24_NaCl'!$D$2:$D$11</c:f>
              <c:numCache>
                <c:formatCode>0.00</c:formatCode>
                <c:ptCount val="10"/>
                <c:pt idx="0">
                  <c:v>8.38947867068104</c:v>
                </c:pt>
                <c:pt idx="1">
                  <c:v>12.9506521731372</c:v>
                </c:pt>
                <c:pt idx="2">
                  <c:v>17.205717891006898</c:v>
                </c:pt>
                <c:pt idx="3">
                  <c:v>21.2210864641801</c:v>
                </c:pt>
                <c:pt idx="4">
                  <c:v>24.989978934244501</c:v>
                </c:pt>
                <c:pt idx="5">
                  <c:v>28.383790786113</c:v>
                </c:pt>
                <c:pt idx="6">
                  <c:v>31.6311410856778</c:v>
                </c:pt>
                <c:pt idx="7">
                  <c:v>34.663540306496699</c:v>
                </c:pt>
                <c:pt idx="8">
                  <c:v>37.485866768347499</c:v>
                </c:pt>
                <c:pt idx="9">
                  <c:v>39.719769007928399</c:v>
                </c:pt>
              </c:numCache>
            </c:numRef>
          </c:xVal>
          <c:yVal>
            <c:numRef>
              <c:f>'NF270_MC2 05.07.24_NaCl'!$F$2:$F$11</c:f>
              <c:numCache>
                <c:formatCode>0.00</c:formatCode>
                <c:ptCount val="10"/>
                <c:pt idx="0">
                  <c:v>0.74726027080548296</c:v>
                </c:pt>
                <c:pt idx="1">
                  <c:v>0.74313535481631199</c:v>
                </c:pt>
                <c:pt idx="2">
                  <c:v>0.69005070749009501</c:v>
                </c:pt>
                <c:pt idx="3">
                  <c:v>0.63819248623491698</c:v>
                </c:pt>
                <c:pt idx="4">
                  <c:v>0.591264725633182</c:v>
                </c:pt>
                <c:pt idx="5">
                  <c:v>0.53979268198200603</c:v>
                </c:pt>
                <c:pt idx="6">
                  <c:v>0.52235097425162802</c:v>
                </c:pt>
                <c:pt idx="7">
                  <c:v>0.504489928211592</c:v>
                </c:pt>
                <c:pt idx="8">
                  <c:v>0.47623955147873698</c:v>
                </c:pt>
                <c:pt idx="9">
                  <c:v>0.44557722883122902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B8-468C-844B-22431F8E3046}"/>
            </c:ext>
          </c:extLst>
        </c:ser>
        <c:ser>
          <c:idx val="1"/>
          <c:order val="1"/>
          <c:tx>
            <c:v>07.22.24_SNaCl MC2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'NF270_MC3 07.22.24_SNaCl'!$D$2:$D$11</c:f>
              <c:numCache>
                <c:formatCode>0.00</c:formatCode>
                <c:ptCount val="10"/>
                <c:pt idx="0">
                  <c:v>71.116034073385094</c:v>
                </c:pt>
                <c:pt idx="1">
                  <c:v>55.089937242252503</c:v>
                </c:pt>
                <c:pt idx="2">
                  <c:v>43.526527811384497</c:v>
                </c:pt>
                <c:pt idx="3">
                  <c:v>34.403383028572698</c:v>
                </c:pt>
                <c:pt idx="4">
                  <c:v>27.480137089250999</c:v>
                </c:pt>
                <c:pt idx="5">
                  <c:v>22.129134670741401</c:v>
                </c:pt>
                <c:pt idx="6">
                  <c:v>17.6488958868011</c:v>
                </c:pt>
                <c:pt idx="7">
                  <c:v>13.969114627953701</c:v>
                </c:pt>
                <c:pt idx="8">
                  <c:v>11.005714016505101</c:v>
                </c:pt>
                <c:pt idx="9">
                  <c:v>8.7408125549667197</c:v>
                </c:pt>
              </c:numCache>
            </c:numRef>
          </c:xVal>
          <c:yVal>
            <c:numRef>
              <c:f>'NF270_MC3 07.22.24_SNaCl'!$F$2:$F$11</c:f>
              <c:numCache>
                <c:formatCode>0.00</c:formatCode>
                <c:ptCount val="10"/>
                <c:pt idx="0">
                  <c:v>0.123597777715233</c:v>
                </c:pt>
                <c:pt idx="1">
                  <c:v>1.2043385006165501E-2</c:v>
                </c:pt>
                <c:pt idx="2">
                  <c:v>2.8839262884393101E-2</c:v>
                </c:pt>
                <c:pt idx="3">
                  <c:v>3.0726368511511701E-2</c:v>
                </c:pt>
                <c:pt idx="4">
                  <c:v>5.59126802495028E-2</c:v>
                </c:pt>
                <c:pt idx="5">
                  <c:v>8.1387573177970393E-2</c:v>
                </c:pt>
                <c:pt idx="6">
                  <c:v>5.3274470959759498E-2</c:v>
                </c:pt>
                <c:pt idx="7">
                  <c:v>7.50851094574245E-3</c:v>
                </c:pt>
                <c:pt idx="8">
                  <c:v>-3.9998183296053598E-2</c:v>
                </c:pt>
                <c:pt idx="9">
                  <c:v>-7.7177861339442294E-2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B8-468C-844B-22431F8E3046}"/>
            </c:ext>
          </c:extLst>
        </c:ser>
        <c:ser>
          <c:idx val="2"/>
          <c:order val="2"/>
          <c:tx>
            <c:v>07.11.24_SNaCl MC4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'NF270_MC4 07.11.24_SNaCl'!$D$2:$D$11</c:f>
              <c:numCache>
                <c:formatCode>0.00</c:formatCode>
                <c:ptCount val="10"/>
                <c:pt idx="0">
                  <c:v>1.37134663533072</c:v>
                </c:pt>
                <c:pt idx="1">
                  <c:v>19.2066283331575</c:v>
                </c:pt>
                <c:pt idx="2">
                  <c:v>34.700712655092602</c:v>
                </c:pt>
                <c:pt idx="3">
                  <c:v>48.007208501664003</c:v>
                </c:pt>
                <c:pt idx="4">
                  <c:v>59.9997484894756</c:v>
                </c:pt>
                <c:pt idx="5">
                  <c:v>70.1175120598852</c:v>
                </c:pt>
                <c:pt idx="6">
                  <c:v>79.441593301356804</c:v>
                </c:pt>
                <c:pt idx="7">
                  <c:v>86.919588055842397</c:v>
                </c:pt>
                <c:pt idx="8">
                  <c:v>94.383734729231804</c:v>
                </c:pt>
                <c:pt idx="9">
                  <c:v>99.295550585849696</c:v>
                </c:pt>
              </c:numCache>
            </c:numRef>
          </c:xVal>
          <c:yVal>
            <c:numRef>
              <c:f>'NF270_MC4 07.11.24_SNaCl'!$F$2:$F$11</c:f>
              <c:numCache>
                <c:formatCode>0.00</c:formatCode>
                <c:ptCount val="10"/>
                <c:pt idx="0">
                  <c:v>-0.57015852187327898</c:v>
                </c:pt>
                <c:pt idx="1">
                  <c:v>0.88099598108286703</c:v>
                </c:pt>
                <c:pt idx="2">
                  <c:v>0.70757813224470001</c:v>
                </c:pt>
                <c:pt idx="3">
                  <c:v>0.55110683188978504</c:v>
                </c:pt>
                <c:pt idx="4">
                  <c:v>0.469747613004253</c:v>
                </c:pt>
                <c:pt idx="5">
                  <c:v>0.36407980678815799</c:v>
                </c:pt>
                <c:pt idx="6">
                  <c:v>0.30785272806894298</c:v>
                </c:pt>
                <c:pt idx="7">
                  <c:v>0.23052716634428599</c:v>
                </c:pt>
                <c:pt idx="8">
                  <c:v>0.22176177761956001</c:v>
                </c:pt>
                <c:pt idx="9">
                  <c:v>0.17581824745497701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DB8-468C-844B-22431F8E3046}"/>
            </c:ext>
          </c:extLst>
        </c:ser>
        <c:ser>
          <c:idx val="3"/>
          <c:order val="3"/>
          <c:tx>
            <c:v>07.23.24_NaCl MC5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'NF270_MC5 07.23.24_NaCl'!$D$2:$D$11</c:f>
              <c:numCache>
                <c:formatCode>0.00</c:formatCode>
                <c:ptCount val="10"/>
                <c:pt idx="0">
                  <c:v>21.6467933303629</c:v>
                </c:pt>
                <c:pt idx="1">
                  <c:v>35.694183892079501</c:v>
                </c:pt>
                <c:pt idx="2">
                  <c:v>48.246720520988802</c:v>
                </c:pt>
                <c:pt idx="3">
                  <c:v>59.533858948928703</c:v>
                </c:pt>
                <c:pt idx="4">
                  <c:v>69.999926210752605</c:v>
                </c:pt>
                <c:pt idx="5">
                  <c:v>79.505548973445102</c:v>
                </c:pt>
                <c:pt idx="6">
                  <c:v>88.307318112907794</c:v>
                </c:pt>
                <c:pt idx="7">
                  <c:v>96.3233652844537</c:v>
                </c:pt>
                <c:pt idx="8">
                  <c:v>103.789422080232</c:v>
                </c:pt>
                <c:pt idx="9">
                  <c:v>109.37454070959301</c:v>
                </c:pt>
              </c:numCache>
            </c:numRef>
          </c:xVal>
          <c:yVal>
            <c:numRef>
              <c:f>'NF270_MC5 07.23.24_NaCl'!$F$2:$F$11</c:f>
              <c:numCache>
                <c:formatCode>0.00</c:formatCode>
                <c:ptCount val="10"/>
                <c:pt idx="0">
                  <c:v>0.91444782528021995</c:v>
                </c:pt>
                <c:pt idx="1">
                  <c:v>0.79851900412480603</c:v>
                </c:pt>
                <c:pt idx="2">
                  <c:v>0.67266271648816001</c:v>
                </c:pt>
                <c:pt idx="3">
                  <c:v>0.58468105858157804</c:v>
                </c:pt>
                <c:pt idx="4">
                  <c:v>0.52060614107755099</c:v>
                </c:pt>
                <c:pt idx="5">
                  <c:v>0.47191866771983498</c:v>
                </c:pt>
                <c:pt idx="6">
                  <c:v>0.42935149041293302</c:v>
                </c:pt>
                <c:pt idx="7">
                  <c:v>0.39143154093961802</c:v>
                </c:pt>
                <c:pt idx="8">
                  <c:v>0.380820020382382</c:v>
                </c:pt>
                <c:pt idx="9">
                  <c:v>0.34043889559456803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B8-468C-844B-22431F8E3046}"/>
            </c:ext>
          </c:extLst>
        </c:ser>
        <c:ser>
          <c:idx val="4"/>
          <c:order val="4"/>
          <c:tx>
            <c:v>07.23.24_SNaCl MC5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'NF270_MC5 07.23.24_SNaCl'!$D$2:$D$11</c:f>
              <c:numCache>
                <c:formatCode>0.00</c:formatCode>
                <c:ptCount val="10"/>
                <c:pt idx="0">
                  <c:v>22.0042898517531</c:v>
                </c:pt>
                <c:pt idx="1">
                  <c:v>37.080002254955097</c:v>
                </c:pt>
                <c:pt idx="2">
                  <c:v>50.828731270308801</c:v>
                </c:pt>
                <c:pt idx="3">
                  <c:v>62.908317008399003</c:v>
                </c:pt>
                <c:pt idx="4">
                  <c:v>73.731758716706096</c:v>
                </c:pt>
                <c:pt idx="5">
                  <c:v>83.903444113139898</c:v>
                </c:pt>
                <c:pt idx="6">
                  <c:v>93.166407809587199</c:v>
                </c:pt>
                <c:pt idx="7">
                  <c:v>101.596176476011</c:v>
                </c:pt>
                <c:pt idx="8">
                  <c:v>109.38227848098499</c:v>
                </c:pt>
                <c:pt idx="9">
                  <c:v>115.438531361272</c:v>
                </c:pt>
              </c:numCache>
            </c:numRef>
          </c:xVal>
          <c:yVal>
            <c:numRef>
              <c:f>'NF270_MC5 07.23.24_SNaCl'!$F$2:$F$11</c:f>
              <c:numCache>
                <c:formatCode>0.00</c:formatCode>
                <c:ptCount val="10"/>
                <c:pt idx="0">
                  <c:v>0.91937105022624199</c:v>
                </c:pt>
                <c:pt idx="1">
                  <c:v>0.84907949969891905</c:v>
                </c:pt>
                <c:pt idx="2">
                  <c:v>0.72088377807757997</c:v>
                </c:pt>
                <c:pt idx="3">
                  <c:v>0.62642276023388499</c:v>
                </c:pt>
                <c:pt idx="4">
                  <c:v>0.55329159563531805</c:v>
                </c:pt>
                <c:pt idx="5">
                  <c:v>0.50306064278023899</c:v>
                </c:pt>
                <c:pt idx="6">
                  <c:v>0.46816277773524301</c:v>
                </c:pt>
                <c:pt idx="7">
                  <c:v>0.42944773828481903</c:v>
                </c:pt>
                <c:pt idx="8">
                  <c:v>0.41186288356349499</c:v>
                </c:pt>
                <c:pt idx="9">
                  <c:v>0.37989116550621799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DB8-468C-844B-22431F8E3046}"/>
            </c:ext>
          </c:extLst>
        </c:ser>
        <c:ser>
          <c:idx val="5"/>
          <c:order val="5"/>
          <c:tx>
            <c:v>07.23.24_S2NaCl MC5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'NF270_MC5 07.23.24_S2NaCl'!$D$2:$D$11</c:f>
              <c:numCache>
                <c:formatCode>0.00</c:formatCode>
                <c:ptCount val="10"/>
                <c:pt idx="0">
                  <c:v>76.111876145876593</c:v>
                </c:pt>
                <c:pt idx="1">
                  <c:v>61.616186195202999</c:v>
                </c:pt>
                <c:pt idx="2">
                  <c:v>51.231649222507997</c:v>
                </c:pt>
                <c:pt idx="3">
                  <c:v>43.9067779951774</c:v>
                </c:pt>
                <c:pt idx="4">
                  <c:v>38.126509939869898</c:v>
                </c:pt>
                <c:pt idx="5">
                  <c:v>33.597319003477203</c:v>
                </c:pt>
                <c:pt idx="6">
                  <c:v>30.020191186027802</c:v>
                </c:pt>
                <c:pt idx="7">
                  <c:v>26.992520646073999</c:v>
                </c:pt>
                <c:pt idx="8">
                  <c:v>24.5971429121042</c:v>
                </c:pt>
                <c:pt idx="9">
                  <c:v>22.710888895292701</c:v>
                </c:pt>
              </c:numCache>
            </c:numRef>
          </c:xVal>
          <c:yVal>
            <c:numRef>
              <c:f>'NF270_MC5 07.23.24_S2NaCl'!$F$2:$F$11</c:f>
              <c:numCache>
                <c:formatCode>0.00</c:formatCode>
                <c:ptCount val="10"/>
                <c:pt idx="0">
                  <c:v>0.23336239900623501</c:v>
                </c:pt>
                <c:pt idx="1">
                  <c:v>0.19150366204660099</c:v>
                </c:pt>
                <c:pt idx="2">
                  <c:v>0.24754838748915201</c:v>
                </c:pt>
                <c:pt idx="3">
                  <c:v>0.34614936779455002</c:v>
                </c:pt>
                <c:pt idx="4">
                  <c:v>0.40786999204129998</c:v>
                </c:pt>
                <c:pt idx="5">
                  <c:v>0.45773120498595199</c:v>
                </c:pt>
                <c:pt idx="6">
                  <c:v>0.50435045640744702</c:v>
                </c:pt>
                <c:pt idx="7">
                  <c:v>0.52694811669531005</c:v>
                </c:pt>
                <c:pt idx="8">
                  <c:v>0.56101511414565297</c:v>
                </c:pt>
                <c:pt idx="9">
                  <c:v>0.59381447505048401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DB8-468C-844B-22431F8E3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6010976"/>
        <c:axId val="1386007136"/>
      </c:scatterChart>
      <c:valAx>
        <c:axId val="1386010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NaCl Ionic Strength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007136"/>
        <c:crosses val="autoZero"/>
        <c:crossBetween val="midCat"/>
      </c:valAx>
      <c:valAx>
        <c:axId val="13860071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NaCl Rejection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010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730800865460678"/>
          <c:y val="0.61391858348376904"/>
          <c:w val="0.2160993270183989"/>
          <c:h val="0.325225073017844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16315327472584"/>
          <c:y val="5.0961315728515172E-2"/>
          <c:w val="0.8089086867469355"/>
          <c:h val="0.81972837462833492"/>
        </c:manualLayout>
      </c:layout>
      <c:scatterChart>
        <c:scatterStyle val="lineMarker"/>
        <c:varyColors val="0"/>
        <c:ser>
          <c:idx val="6"/>
          <c:order val="0"/>
          <c:tx>
            <c:v>05.07.24_CaCl2 MC2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'NF270_MC2 05.07.24_CaCl2'!$D$2:$D$11</c:f>
              <c:numCache>
                <c:formatCode>0.00</c:formatCode>
                <c:ptCount val="10"/>
                <c:pt idx="0">
                  <c:v>22.424823277708299</c:v>
                </c:pt>
                <c:pt idx="1">
                  <c:v>35.588421069317697</c:v>
                </c:pt>
                <c:pt idx="2">
                  <c:v>47.785272909285403</c:v>
                </c:pt>
                <c:pt idx="3">
                  <c:v>59.100778042438399</c:v>
                </c:pt>
                <c:pt idx="4">
                  <c:v>69.611162545344001</c:v>
                </c:pt>
                <c:pt idx="5">
                  <c:v>78.997195345805096</c:v>
                </c:pt>
                <c:pt idx="6">
                  <c:v>88.225111577392099</c:v>
                </c:pt>
                <c:pt idx="7">
                  <c:v>96.668104390218005</c:v>
                </c:pt>
                <c:pt idx="8">
                  <c:v>104.371488083838</c:v>
                </c:pt>
                <c:pt idx="9">
                  <c:v>111.441890919287</c:v>
                </c:pt>
              </c:numCache>
            </c:numRef>
          </c:xVal>
          <c:yVal>
            <c:numRef>
              <c:f>'NF270_MC2 05.07.24_CaCl2'!$F$2:$F$11</c:f>
              <c:numCache>
                <c:formatCode>0.00</c:formatCode>
                <c:ptCount val="10"/>
                <c:pt idx="0">
                  <c:v>0.99082459012340396</c:v>
                </c:pt>
                <c:pt idx="1">
                  <c:v>0.84602488312908797</c:v>
                </c:pt>
                <c:pt idx="2">
                  <c:v>0.74090788349982695</c:v>
                </c:pt>
                <c:pt idx="3">
                  <c:v>0.65440994738278502</c:v>
                </c:pt>
                <c:pt idx="4">
                  <c:v>0.60998529716776295</c:v>
                </c:pt>
                <c:pt idx="5">
                  <c:v>0.54882761053566598</c:v>
                </c:pt>
                <c:pt idx="6">
                  <c:v>0.53179911933676105</c:v>
                </c:pt>
                <c:pt idx="7">
                  <c:v>0.50661127496611702</c:v>
                </c:pt>
                <c:pt idx="8">
                  <c:v>0.48325167499472999</c:v>
                </c:pt>
                <c:pt idx="9">
                  <c:v>0.47734753992266998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7C0-455B-92BA-3C89F3AE373E}"/>
            </c:ext>
          </c:extLst>
        </c:ser>
        <c:ser>
          <c:idx val="0"/>
          <c:order val="1"/>
          <c:tx>
            <c:v>07.11.24_CaCl2 MC3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'NF270_MC3 07.11.24_CaCl2'!$D$2:$D$11</c:f>
              <c:numCache>
                <c:formatCode>0.00</c:formatCode>
                <c:ptCount val="10"/>
                <c:pt idx="0">
                  <c:v>18.296203258370401</c:v>
                </c:pt>
                <c:pt idx="1">
                  <c:v>32.994323392711699</c:v>
                </c:pt>
                <c:pt idx="2">
                  <c:v>45.5483294972842</c:v>
                </c:pt>
                <c:pt idx="3">
                  <c:v>57.129158317022203</c:v>
                </c:pt>
                <c:pt idx="4">
                  <c:v>67.360481192931204</c:v>
                </c:pt>
                <c:pt idx="5">
                  <c:v>76.176004871585306</c:v>
                </c:pt>
                <c:pt idx="6">
                  <c:v>84.054071289950997</c:v>
                </c:pt>
                <c:pt idx="7">
                  <c:v>91.200686888011404</c:v>
                </c:pt>
                <c:pt idx="8">
                  <c:v>97.8438329297488</c:v>
                </c:pt>
                <c:pt idx="9">
                  <c:v>103.408473723254</c:v>
                </c:pt>
              </c:numCache>
            </c:numRef>
          </c:xVal>
          <c:yVal>
            <c:numRef>
              <c:f>'NF270_MC3 07.11.24_CaCl2'!$F$2:$F$11</c:f>
              <c:numCache>
                <c:formatCode>0.00</c:formatCode>
                <c:ptCount val="10"/>
                <c:pt idx="0">
                  <c:v>0.86351236005893905</c:v>
                </c:pt>
                <c:pt idx="1">
                  <c:v>0.71389038427900697</c:v>
                </c:pt>
                <c:pt idx="2">
                  <c:v>0.58784032471704795</c:v>
                </c:pt>
                <c:pt idx="3">
                  <c:v>0.55741154421366401</c:v>
                </c:pt>
                <c:pt idx="4">
                  <c:v>0.54600621907695002</c:v>
                </c:pt>
                <c:pt idx="5">
                  <c:v>0.52950091447122405</c:v>
                </c:pt>
                <c:pt idx="6">
                  <c:v>0.52305880729778598</c:v>
                </c:pt>
                <c:pt idx="7">
                  <c:v>0.53471222837420496</c:v>
                </c:pt>
                <c:pt idx="8">
                  <c:v>0.546772532391266</c:v>
                </c:pt>
                <c:pt idx="9">
                  <c:v>0.54850655658564196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7C0-455B-92BA-3C89F3AE373E}"/>
            </c:ext>
          </c:extLst>
        </c:ser>
        <c:ser>
          <c:idx val="1"/>
          <c:order val="2"/>
          <c:tx>
            <c:v>07.11.24_SCaCl2 MC3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'NF270_MC3 07.11.24_SCaCl2'!$D$2:$D$11</c:f>
              <c:numCache>
                <c:formatCode>0.00</c:formatCode>
                <c:ptCount val="10"/>
                <c:pt idx="0">
                  <c:v>17.734576910238399</c:v>
                </c:pt>
                <c:pt idx="1">
                  <c:v>29.1790454583581</c:v>
                </c:pt>
                <c:pt idx="2">
                  <c:v>39.674275513791699</c:v>
                </c:pt>
                <c:pt idx="3">
                  <c:v>49.720594461583502</c:v>
                </c:pt>
                <c:pt idx="4">
                  <c:v>59.123977983058801</c:v>
                </c:pt>
                <c:pt idx="5">
                  <c:v>67.916385451010996</c:v>
                </c:pt>
                <c:pt idx="6">
                  <c:v>76.265889071342002</c:v>
                </c:pt>
                <c:pt idx="7">
                  <c:v>84.221356160849297</c:v>
                </c:pt>
                <c:pt idx="8">
                  <c:v>91.809207813691799</c:v>
                </c:pt>
                <c:pt idx="9">
                  <c:v>97.775059353770999</c:v>
                </c:pt>
              </c:numCache>
            </c:numRef>
          </c:xVal>
          <c:yVal>
            <c:numRef>
              <c:f>'NF270_MC3 07.11.24_SCaCl2'!$F$2:$F$11</c:f>
              <c:numCache>
                <c:formatCode>0.00</c:formatCode>
                <c:ptCount val="10"/>
                <c:pt idx="0">
                  <c:v>0.91838017129611205</c:v>
                </c:pt>
                <c:pt idx="1">
                  <c:v>0.81381147098209095</c:v>
                </c:pt>
                <c:pt idx="2">
                  <c:v>0.695412902918219</c:v>
                </c:pt>
                <c:pt idx="3">
                  <c:v>0.64792535245350402</c:v>
                </c:pt>
                <c:pt idx="4">
                  <c:v>0.62314494296140999</c:v>
                </c:pt>
                <c:pt idx="5">
                  <c:v>0.60193007235332596</c:v>
                </c:pt>
                <c:pt idx="6">
                  <c:v>0.57728075533494305</c:v>
                </c:pt>
                <c:pt idx="7">
                  <c:v>0.56008278169374304</c:v>
                </c:pt>
                <c:pt idx="8">
                  <c:v>0.55195689373691903</c:v>
                </c:pt>
                <c:pt idx="9">
                  <c:v>0.53529494828541202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7C0-455B-92BA-3C89F3AE373E}"/>
            </c:ext>
          </c:extLst>
        </c:ser>
        <c:ser>
          <c:idx val="2"/>
          <c:order val="3"/>
          <c:tx>
            <c:v>07.12.24_S2CaCl2 MC3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'NF270_MC3 07.12.24_S2CaCl2'!$D$2:$D$11</c:f>
              <c:numCache>
                <c:formatCode>0.00</c:formatCode>
                <c:ptCount val="10"/>
                <c:pt idx="0">
                  <c:v>12.715091279790499</c:v>
                </c:pt>
                <c:pt idx="1">
                  <c:v>25.246714896107001</c:v>
                </c:pt>
                <c:pt idx="2">
                  <c:v>36.342350215687603</c:v>
                </c:pt>
                <c:pt idx="3">
                  <c:v>45.547207694305897</c:v>
                </c:pt>
                <c:pt idx="4">
                  <c:v>54.303527781294797</c:v>
                </c:pt>
                <c:pt idx="5">
                  <c:v>62.4245447426757</c:v>
                </c:pt>
                <c:pt idx="6">
                  <c:v>69.563423928487396</c:v>
                </c:pt>
                <c:pt idx="7">
                  <c:v>76.693069584797499</c:v>
                </c:pt>
                <c:pt idx="8">
                  <c:v>82.469064265155296</c:v>
                </c:pt>
                <c:pt idx="9">
                  <c:v>87.965047184182495</c:v>
                </c:pt>
              </c:numCache>
            </c:numRef>
          </c:xVal>
          <c:yVal>
            <c:numRef>
              <c:f>'NF270_MC3 07.12.24_S2CaCl2'!$F$2:$F$11</c:f>
              <c:numCache>
                <c:formatCode>0.00</c:formatCode>
                <c:ptCount val="10"/>
                <c:pt idx="0">
                  <c:v>0.88110829906260701</c:v>
                </c:pt>
                <c:pt idx="1">
                  <c:v>0.74467676805798599</c:v>
                </c:pt>
                <c:pt idx="2">
                  <c:v>0.57271016599398195</c:v>
                </c:pt>
                <c:pt idx="3">
                  <c:v>0.44392243859411801</c:v>
                </c:pt>
                <c:pt idx="4">
                  <c:v>0.42515841536394</c:v>
                </c:pt>
                <c:pt idx="5">
                  <c:v>0.446861357177813</c:v>
                </c:pt>
                <c:pt idx="6">
                  <c:v>0.43677369534046101</c:v>
                </c:pt>
                <c:pt idx="7">
                  <c:v>0.48439568523134902</c:v>
                </c:pt>
                <c:pt idx="8">
                  <c:v>0.45726969797218697</c:v>
                </c:pt>
                <c:pt idx="9">
                  <c:v>0.47884234024150801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7C0-455B-92BA-3C89F3AE3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6010976"/>
        <c:axId val="1386007136"/>
      </c:scatterChart>
      <c:valAx>
        <c:axId val="1386010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CaCl2 Ionic Strength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007136"/>
        <c:crosses val="autoZero"/>
        <c:crossBetween val="midCat"/>
      </c:valAx>
      <c:valAx>
        <c:axId val="1386007136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CaCl2 Rejection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010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722817590039518"/>
          <c:y val="4.565485161695064E-2"/>
          <c:w val="0.21277188937073382"/>
          <c:h val="0.216816715345230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81872731798709"/>
          <c:y val="5.0961315728515172E-2"/>
          <c:w val="0.80225311270367405"/>
          <c:h val="0.82936460564293635"/>
        </c:manualLayout>
      </c:layout>
      <c:scatterChart>
        <c:scatterStyle val="lineMarker"/>
        <c:varyColors val="0"/>
        <c:ser>
          <c:idx val="0"/>
          <c:order val="0"/>
          <c:tx>
            <c:v>05.21.24_LaCl3 MC2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'NF270_MC2 05.21.24_LaCl3'!$D$2:$D$11</c:f>
              <c:numCache>
                <c:formatCode>0.00</c:formatCode>
                <c:ptCount val="10"/>
                <c:pt idx="0">
                  <c:v>16.602366874489501</c:v>
                </c:pt>
                <c:pt idx="1">
                  <c:v>28.6650278114823</c:v>
                </c:pt>
                <c:pt idx="2">
                  <c:v>39.986640282849102</c:v>
                </c:pt>
                <c:pt idx="3">
                  <c:v>51.3915747993588</c:v>
                </c:pt>
                <c:pt idx="4">
                  <c:v>62.530717630378398</c:v>
                </c:pt>
                <c:pt idx="5">
                  <c:v>73.346408508167599</c:v>
                </c:pt>
                <c:pt idx="6">
                  <c:v>84.086896487118906</c:v>
                </c:pt>
                <c:pt idx="7">
                  <c:v>94.497748427955599</c:v>
                </c:pt>
                <c:pt idx="8">
                  <c:v>104.687329159079</c:v>
                </c:pt>
                <c:pt idx="9">
                  <c:v>114.64371433632699</c:v>
                </c:pt>
              </c:numCache>
            </c:numRef>
          </c:xVal>
          <c:yVal>
            <c:numRef>
              <c:f>'NF270_MC2 05.21.24_LaCl3'!$F$2:$F$11</c:f>
              <c:numCache>
                <c:formatCode>0.00</c:formatCode>
                <c:ptCount val="10"/>
                <c:pt idx="0">
                  <c:v>0.98175039827612298</c:v>
                </c:pt>
                <c:pt idx="1">
                  <c:v>0.97990104953946999</c:v>
                </c:pt>
                <c:pt idx="2">
                  <c:v>0.97466122191332305</c:v>
                </c:pt>
                <c:pt idx="3">
                  <c:v>0.97176891711697799</c:v>
                </c:pt>
                <c:pt idx="4">
                  <c:v>0.96968729661328701</c:v>
                </c:pt>
                <c:pt idx="5">
                  <c:v>0.96837016383087504</c:v>
                </c:pt>
                <c:pt idx="6">
                  <c:v>0.966899750733478</c:v>
                </c:pt>
                <c:pt idx="7">
                  <c:v>0.96518232153342698</c:v>
                </c:pt>
                <c:pt idx="8">
                  <c:v>0.96388217742496696</c:v>
                </c:pt>
                <c:pt idx="9">
                  <c:v>0.96143603795834298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543-474C-AFDA-AAED54A4721C}"/>
            </c:ext>
          </c:extLst>
        </c:ser>
        <c:ser>
          <c:idx val="1"/>
          <c:order val="1"/>
          <c:tx>
            <c:v>07.11.24_SLaCl3 MC4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'NF270_MC4 07.11.24_SLaCl3'!$D$2:$D$11</c:f>
              <c:numCache>
                <c:formatCode>0.00</c:formatCode>
                <c:ptCount val="10"/>
                <c:pt idx="0">
                  <c:v>10.8454569389399</c:v>
                </c:pt>
                <c:pt idx="1">
                  <c:v>22.642624951356201</c:v>
                </c:pt>
                <c:pt idx="2">
                  <c:v>34.361194654342</c:v>
                </c:pt>
                <c:pt idx="3">
                  <c:v>45.8085170008452</c:v>
                </c:pt>
                <c:pt idx="4">
                  <c:v>56.826824892012198</c:v>
                </c:pt>
                <c:pt idx="5">
                  <c:v>67.574943704659404</c:v>
                </c:pt>
                <c:pt idx="6">
                  <c:v>78.347051496284905</c:v>
                </c:pt>
                <c:pt idx="7">
                  <c:v>88.593198967373596</c:v>
                </c:pt>
                <c:pt idx="8">
                  <c:v>98.465380981613194</c:v>
                </c:pt>
                <c:pt idx="9">
                  <c:v>108.02662954634</c:v>
                </c:pt>
              </c:numCache>
            </c:numRef>
          </c:xVal>
          <c:yVal>
            <c:numRef>
              <c:f>'NF270_MC4 07.11.24_SLaCl3'!$F$2:$F$11</c:f>
              <c:numCache>
                <c:formatCode>0.00</c:formatCode>
                <c:ptCount val="10"/>
                <c:pt idx="0">
                  <c:v>0.98778708831481399</c:v>
                </c:pt>
                <c:pt idx="1">
                  <c:v>0.98844715155235496</c:v>
                </c:pt>
                <c:pt idx="2">
                  <c:v>0.98319432284122399</c:v>
                </c:pt>
                <c:pt idx="3">
                  <c:v>0.98199523111865905</c:v>
                </c:pt>
                <c:pt idx="4">
                  <c:v>0.98090796120171797</c:v>
                </c:pt>
                <c:pt idx="5">
                  <c:v>0.98026720551817803</c:v>
                </c:pt>
                <c:pt idx="6">
                  <c:v>0.97905959843730395</c:v>
                </c:pt>
                <c:pt idx="7">
                  <c:v>0.976441075249598</c:v>
                </c:pt>
                <c:pt idx="8">
                  <c:v>0.97644708573954098</c:v>
                </c:pt>
                <c:pt idx="9">
                  <c:v>0.97552819924884404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543-474C-AFDA-AAED54A47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6010976"/>
        <c:axId val="1386007136"/>
      </c:scatterChart>
      <c:valAx>
        <c:axId val="1386010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LaCl3 Ionic Strength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007136"/>
        <c:crosses val="autoZero"/>
        <c:crossBetween val="midCat"/>
      </c:valAx>
      <c:valAx>
        <c:axId val="1386007136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LaCl3 Rejection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010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604119992488459"/>
          <c:y val="0.73946337574623888"/>
          <c:w val="0.21235002030736175"/>
          <c:h val="0.108460615249841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225569709163594"/>
          <c:y val="5.0961315728515172E-2"/>
          <c:w val="0.79781601914183398"/>
          <c:h val="0.86469752434524561"/>
        </c:manualLayout>
      </c:layout>
      <c:scatterChart>
        <c:scatterStyle val="lineMarker"/>
        <c:varyColors val="0"/>
        <c:ser>
          <c:idx val="0"/>
          <c:order val="0"/>
          <c:tx>
            <c:v>05.07.24_NaCl MC2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'NF270_MC2 05.07.24_NaCl'!$D$2:$D$11</c:f>
              <c:numCache>
                <c:formatCode>0.00</c:formatCode>
                <c:ptCount val="10"/>
                <c:pt idx="0">
                  <c:v>8.38947867068104</c:v>
                </c:pt>
                <c:pt idx="1">
                  <c:v>12.9506521731372</c:v>
                </c:pt>
                <c:pt idx="2">
                  <c:v>17.205717891006898</c:v>
                </c:pt>
                <c:pt idx="3">
                  <c:v>21.2210864641801</c:v>
                </c:pt>
                <c:pt idx="4">
                  <c:v>24.989978934244501</c:v>
                </c:pt>
                <c:pt idx="5">
                  <c:v>28.383790786113</c:v>
                </c:pt>
                <c:pt idx="6">
                  <c:v>31.6311410856778</c:v>
                </c:pt>
                <c:pt idx="7">
                  <c:v>34.663540306496699</c:v>
                </c:pt>
                <c:pt idx="8">
                  <c:v>37.485866768347499</c:v>
                </c:pt>
                <c:pt idx="9">
                  <c:v>39.719769007928399</c:v>
                </c:pt>
              </c:numCache>
            </c:numRef>
          </c:xVal>
          <c:yVal>
            <c:numRef>
              <c:f>'NF270_MC2 05.07.24_NaCl'!$L$2:$L$11</c:f>
              <c:numCache>
                <c:formatCode>0.00</c:formatCode>
                <c:ptCount val="10"/>
                <c:pt idx="0">
                  <c:v>3.3512521534556026</c:v>
                </c:pt>
                <c:pt idx="1">
                  <c:v>3.2423357657835581</c:v>
                </c:pt>
                <c:pt idx="2">
                  <c:v>3.9983957620575326</c:v>
                </c:pt>
                <c:pt idx="3">
                  <c:v>4.8378051378679787</c:v>
                </c:pt>
                <c:pt idx="4">
                  <c:v>5.7165542179138669</c:v>
                </c:pt>
                <c:pt idx="5">
                  <c:v>6.860864798433</c:v>
                </c:pt>
                <c:pt idx="6">
                  <c:v>7.1436747814698993</c:v>
                </c:pt>
                <c:pt idx="7">
                  <c:v>7.4232825235277895</c:v>
                </c:pt>
                <c:pt idx="8">
                  <c:v>8.1143371152762498</c:v>
                </c:pt>
                <c:pt idx="9">
                  <c:v>9.3912657242631514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BD-4AF6-A67A-4C5A3BBC3477}"/>
            </c:ext>
          </c:extLst>
        </c:ser>
        <c:ser>
          <c:idx val="1"/>
          <c:order val="1"/>
          <c:tx>
            <c:v>07.22.24_SNaCl MC2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'NF270_MC3 07.22.24_SNaCl'!$D$2:$D$11</c:f>
              <c:numCache>
                <c:formatCode>0.00</c:formatCode>
                <c:ptCount val="10"/>
                <c:pt idx="0">
                  <c:v>71.116034073385094</c:v>
                </c:pt>
                <c:pt idx="1">
                  <c:v>55.089937242252503</c:v>
                </c:pt>
                <c:pt idx="2">
                  <c:v>43.526527811384497</c:v>
                </c:pt>
                <c:pt idx="3">
                  <c:v>34.403383028572698</c:v>
                </c:pt>
                <c:pt idx="4">
                  <c:v>27.480137089250999</c:v>
                </c:pt>
                <c:pt idx="5">
                  <c:v>22.129134670741401</c:v>
                </c:pt>
                <c:pt idx="6">
                  <c:v>17.6488958868011</c:v>
                </c:pt>
                <c:pt idx="7">
                  <c:v>13.969114627953701</c:v>
                </c:pt>
                <c:pt idx="8">
                  <c:v>11.005714016505101</c:v>
                </c:pt>
                <c:pt idx="9">
                  <c:v>8.7408125549667197</c:v>
                </c:pt>
              </c:numCache>
            </c:numRef>
          </c:xVal>
          <c:yVal>
            <c:numRef>
              <c:f>'NF270_MC3 07.22.24_SNaCl'!$L$2:$L$11</c:f>
              <c:numCache>
                <c:formatCode>0.00</c:formatCode>
                <c:ptCount val="10"/>
                <c:pt idx="0">
                  <c:v>53.260589369223126</c:v>
                </c:pt>
                <c:pt idx="1">
                  <c:v>616.86004893295637</c:v>
                </c:pt>
                <c:pt idx="2">
                  <c:v>262.27699007942437</c:v>
                </c:pt>
                <c:pt idx="3">
                  <c:v>255.42540561638251</c:v>
                </c:pt>
                <c:pt idx="4">
                  <c:v>141.09059589975857</c:v>
                </c:pt>
                <c:pt idx="5">
                  <c:v>96.566784436195121</c:v>
                </c:pt>
                <c:pt idx="6">
                  <c:v>155.05112458472587</c:v>
                </c:pt>
                <c:pt idx="7">
                  <c:v>1176.677223100929</c:v>
                </c:pt>
                <c:pt idx="8">
                  <c:v>-236.79227060794864</c:v>
                </c:pt>
                <c:pt idx="9">
                  <c:v>-130.22260602705742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BD-4AF6-A67A-4C5A3BBC3477}"/>
            </c:ext>
          </c:extLst>
        </c:ser>
        <c:ser>
          <c:idx val="2"/>
          <c:order val="2"/>
          <c:tx>
            <c:v>07.11.24_SNaCl MC4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'NF270_MC4 07.11.24_SNaCl'!$D$2:$D$11</c:f>
              <c:numCache>
                <c:formatCode>0.00</c:formatCode>
                <c:ptCount val="10"/>
                <c:pt idx="0">
                  <c:v>1.37134663533072</c:v>
                </c:pt>
                <c:pt idx="1">
                  <c:v>19.2066283331575</c:v>
                </c:pt>
                <c:pt idx="2">
                  <c:v>34.700712655092602</c:v>
                </c:pt>
                <c:pt idx="3">
                  <c:v>48.007208501664003</c:v>
                </c:pt>
                <c:pt idx="4">
                  <c:v>59.9997484894756</c:v>
                </c:pt>
                <c:pt idx="5">
                  <c:v>70.1175120598852</c:v>
                </c:pt>
                <c:pt idx="6">
                  <c:v>79.441593301356804</c:v>
                </c:pt>
                <c:pt idx="7">
                  <c:v>86.919588055842397</c:v>
                </c:pt>
                <c:pt idx="8">
                  <c:v>94.383734729231804</c:v>
                </c:pt>
                <c:pt idx="9">
                  <c:v>99.295550585849696</c:v>
                </c:pt>
              </c:numCache>
            </c:numRef>
          </c:xVal>
          <c:yVal>
            <c:numRef>
              <c:f>'NF270_MC4 07.11.24_SNaCl'!$L$2:$L$11</c:f>
              <c:numCache>
                <c:formatCode>0.00</c:formatCode>
                <c:ptCount val="10"/>
                <c:pt idx="0">
                  <c:v>-36.158799904112961</c:v>
                </c:pt>
                <c:pt idx="1">
                  <c:v>1.6008121737027496</c:v>
                </c:pt>
                <c:pt idx="2">
                  <c:v>4.4413858944707556</c:v>
                </c:pt>
                <c:pt idx="3">
                  <c:v>8.0626191030853729</c:v>
                </c:pt>
                <c:pt idx="4">
                  <c:v>10.495859924778166</c:v>
                </c:pt>
                <c:pt idx="5">
                  <c:v>15.510499519882107</c:v>
                </c:pt>
                <c:pt idx="6">
                  <c:v>19.272663302969466</c:v>
                </c:pt>
                <c:pt idx="7">
                  <c:v>27.775813086524842</c:v>
                </c:pt>
                <c:pt idx="8">
                  <c:v>28.397488308982609</c:v>
                </c:pt>
                <c:pt idx="9">
                  <c:v>37.062238605311201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BD-4AF6-A67A-4C5A3BBC3477}"/>
            </c:ext>
          </c:extLst>
        </c:ser>
        <c:ser>
          <c:idx val="3"/>
          <c:order val="3"/>
          <c:tx>
            <c:v>07.23.24_NaCl MC5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'NF270_MC5 07.23.24_NaCl'!$D$2:$D$11</c:f>
              <c:numCache>
                <c:formatCode>0.00</c:formatCode>
                <c:ptCount val="10"/>
                <c:pt idx="0">
                  <c:v>21.6467933303629</c:v>
                </c:pt>
                <c:pt idx="1">
                  <c:v>35.694183892079501</c:v>
                </c:pt>
                <c:pt idx="2">
                  <c:v>48.246720520988802</c:v>
                </c:pt>
                <c:pt idx="3">
                  <c:v>59.533858948928703</c:v>
                </c:pt>
                <c:pt idx="4">
                  <c:v>69.999926210752605</c:v>
                </c:pt>
                <c:pt idx="5">
                  <c:v>79.505548973445102</c:v>
                </c:pt>
                <c:pt idx="6">
                  <c:v>88.307318112907794</c:v>
                </c:pt>
                <c:pt idx="7">
                  <c:v>96.3233652844537</c:v>
                </c:pt>
                <c:pt idx="8">
                  <c:v>103.789422080232</c:v>
                </c:pt>
                <c:pt idx="9">
                  <c:v>109.37454070959301</c:v>
                </c:pt>
              </c:numCache>
            </c:numRef>
          </c:xVal>
          <c:yVal>
            <c:numRef>
              <c:f>'NF270_MC5 07.23.24_NaCl'!$L$2:$L$11</c:f>
              <c:numCache>
                <c:formatCode>0.00</c:formatCode>
                <c:ptCount val="10"/>
                <c:pt idx="0">
                  <c:v>0.92397069009300681</c:v>
                </c:pt>
                <c:pt idx="1">
                  <c:v>2.3249860521299648</c:v>
                </c:pt>
                <c:pt idx="2">
                  <c:v>4.176588460636661</c:v>
                </c:pt>
                <c:pt idx="3">
                  <c:v>5.7165565130956519</c:v>
                </c:pt>
                <c:pt idx="4">
                  <c:v>7.0004364769666214</c:v>
                </c:pt>
                <c:pt idx="5">
                  <c:v>8.0910737453636123</c:v>
                </c:pt>
                <c:pt idx="6">
                  <c:v>9.2055306594720729</c:v>
                </c:pt>
                <c:pt idx="7">
                  <c:v>10.386948587275365</c:v>
                </c:pt>
                <c:pt idx="8">
                  <c:v>10.525863191474128</c:v>
                </c:pt>
                <c:pt idx="9">
                  <c:v>12.142149701517155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2BD-4AF6-A67A-4C5A3BBC3477}"/>
            </c:ext>
          </c:extLst>
        </c:ser>
        <c:ser>
          <c:idx val="4"/>
          <c:order val="4"/>
          <c:tx>
            <c:v>07.23.24_SNaCl MC5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'NF270_MC5 07.23.24_SNaCl'!$D$2:$D$11</c:f>
              <c:numCache>
                <c:formatCode>0.00</c:formatCode>
                <c:ptCount val="10"/>
                <c:pt idx="0">
                  <c:v>22.0042898517531</c:v>
                </c:pt>
                <c:pt idx="1">
                  <c:v>37.080002254955097</c:v>
                </c:pt>
                <c:pt idx="2">
                  <c:v>50.828731270308801</c:v>
                </c:pt>
                <c:pt idx="3">
                  <c:v>62.908317008399003</c:v>
                </c:pt>
                <c:pt idx="4">
                  <c:v>73.731758716706096</c:v>
                </c:pt>
                <c:pt idx="5">
                  <c:v>83.903444113139898</c:v>
                </c:pt>
                <c:pt idx="6">
                  <c:v>93.166407809587199</c:v>
                </c:pt>
                <c:pt idx="7">
                  <c:v>101.596176476011</c:v>
                </c:pt>
                <c:pt idx="8">
                  <c:v>109.38227848098499</c:v>
                </c:pt>
                <c:pt idx="9">
                  <c:v>115.438531361272</c:v>
                </c:pt>
              </c:numCache>
            </c:numRef>
          </c:xVal>
          <c:yVal>
            <c:numRef>
              <c:f>'NF270_MC5 07.23.24_SNaCl'!$L$2:$L$11</c:f>
              <c:numCache>
                <c:formatCode>0.00</c:formatCode>
                <c:ptCount val="10"/>
                <c:pt idx="0">
                  <c:v>0.89582871174397427</c:v>
                </c:pt>
                <c:pt idx="1">
                  <c:v>1.6480632217757476</c:v>
                </c:pt>
                <c:pt idx="2">
                  <c:v>3.2740344732591398</c:v>
                </c:pt>
                <c:pt idx="3">
                  <c:v>4.6832527934046473</c:v>
                </c:pt>
                <c:pt idx="4">
                  <c:v>6.0404202386468739</c:v>
                </c:pt>
                <c:pt idx="5">
                  <c:v>7.1686815627406899</c:v>
                </c:pt>
                <c:pt idx="6">
                  <c:v>8.0266969863075861</c:v>
                </c:pt>
                <c:pt idx="7">
                  <c:v>9.0705520006238132</c:v>
                </c:pt>
                <c:pt idx="8">
                  <c:v>9.2603301789056616</c:v>
                </c:pt>
                <c:pt idx="9">
                  <c:v>9.9984601498668972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2BD-4AF6-A67A-4C5A3BBC3477}"/>
            </c:ext>
          </c:extLst>
        </c:ser>
        <c:ser>
          <c:idx val="5"/>
          <c:order val="5"/>
          <c:tx>
            <c:v>07.23.24_S2NaCl MC5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'NF270_MC5 07.23.24_S2NaCl'!$D$2:$D$11</c:f>
              <c:numCache>
                <c:formatCode>0.00</c:formatCode>
                <c:ptCount val="10"/>
                <c:pt idx="0">
                  <c:v>76.111876145876593</c:v>
                </c:pt>
                <c:pt idx="1">
                  <c:v>61.616186195202999</c:v>
                </c:pt>
                <c:pt idx="2">
                  <c:v>51.231649222507997</c:v>
                </c:pt>
                <c:pt idx="3">
                  <c:v>43.9067779951774</c:v>
                </c:pt>
                <c:pt idx="4">
                  <c:v>38.126509939869898</c:v>
                </c:pt>
                <c:pt idx="5">
                  <c:v>33.597319003477203</c:v>
                </c:pt>
                <c:pt idx="6">
                  <c:v>30.020191186027802</c:v>
                </c:pt>
                <c:pt idx="7">
                  <c:v>26.992520646073999</c:v>
                </c:pt>
                <c:pt idx="8">
                  <c:v>24.5971429121042</c:v>
                </c:pt>
                <c:pt idx="9">
                  <c:v>22.710888895292701</c:v>
                </c:pt>
              </c:numCache>
            </c:numRef>
          </c:xVal>
          <c:yVal>
            <c:numRef>
              <c:f>'NF270_MC5 07.23.24_S2NaCl'!$L$2:$L$11</c:f>
              <c:numCache>
                <c:formatCode>0.00</c:formatCode>
                <c:ptCount val="10"/>
                <c:pt idx="0">
                  <c:v>26.761374563701239</c:v>
                </c:pt>
                <c:pt idx="1">
                  <c:v>33.233240042842674</c:v>
                </c:pt>
                <c:pt idx="2">
                  <c:v>23.520577999704127</c:v>
                </c:pt>
                <c:pt idx="3">
                  <c:v>14.69231297525184</c:v>
                </c:pt>
                <c:pt idx="4">
                  <c:v>11.533265680948496</c:v>
                </c:pt>
                <c:pt idx="5">
                  <c:v>9.6638959131572584</c:v>
                </c:pt>
                <c:pt idx="6">
                  <c:v>8.2080074955794604</c:v>
                </c:pt>
                <c:pt idx="7">
                  <c:v>7.6424788702729991</c:v>
                </c:pt>
                <c:pt idx="8">
                  <c:v>6.7916956499116399</c:v>
                </c:pt>
                <c:pt idx="9">
                  <c:v>6.1326673302552051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2BD-4AF6-A67A-4C5A3BBC3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6010976"/>
        <c:axId val="1386007136"/>
      </c:scatterChart>
      <c:valAx>
        <c:axId val="1386010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NaCl Ionic Strength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007136"/>
        <c:crosses val="autoZero"/>
        <c:crossBetween val="midCat"/>
      </c:valAx>
      <c:valAx>
        <c:axId val="1386007136"/>
        <c:scaling>
          <c:orientation val="minMax"/>
          <c:max val="50"/>
          <c:min val="-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B (um/s)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010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168331270644697"/>
          <c:y val="3.2655367665013611E-2"/>
          <c:w val="0.2160993270183989"/>
          <c:h val="0.325225073017844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16315327472584"/>
          <c:y val="5.0961315728515172E-2"/>
          <c:w val="0.8089086867469355"/>
          <c:h val="0.81972837462833492"/>
        </c:manualLayout>
      </c:layout>
      <c:scatterChart>
        <c:scatterStyle val="lineMarker"/>
        <c:varyColors val="0"/>
        <c:ser>
          <c:idx val="6"/>
          <c:order val="0"/>
          <c:tx>
            <c:v>05.07.24_CaCl2 MC2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'NF270_MC2 05.07.24_CaCl2'!$D$2:$D$11</c:f>
              <c:numCache>
                <c:formatCode>0.00</c:formatCode>
                <c:ptCount val="10"/>
                <c:pt idx="0">
                  <c:v>22.424823277708299</c:v>
                </c:pt>
                <c:pt idx="1">
                  <c:v>35.588421069317697</c:v>
                </c:pt>
                <c:pt idx="2">
                  <c:v>47.785272909285403</c:v>
                </c:pt>
                <c:pt idx="3">
                  <c:v>59.100778042438399</c:v>
                </c:pt>
                <c:pt idx="4">
                  <c:v>69.611162545344001</c:v>
                </c:pt>
                <c:pt idx="5">
                  <c:v>78.997195345805096</c:v>
                </c:pt>
                <c:pt idx="6">
                  <c:v>88.225111577392099</c:v>
                </c:pt>
                <c:pt idx="7">
                  <c:v>96.668104390218005</c:v>
                </c:pt>
                <c:pt idx="8">
                  <c:v>104.371488083838</c:v>
                </c:pt>
                <c:pt idx="9">
                  <c:v>111.441890919287</c:v>
                </c:pt>
              </c:numCache>
            </c:numRef>
          </c:xVal>
          <c:yVal>
            <c:numRef>
              <c:f>'NF270_MC2 05.07.24_CaCl2'!$L$2:$L$11</c:f>
              <c:numCache>
                <c:formatCode>0.00</c:formatCode>
                <c:ptCount val="10"/>
                <c:pt idx="0">
                  <c:v>7.8839732114277875E-2</c:v>
                </c:pt>
                <c:pt idx="1">
                  <c:v>1.4480304666154207</c:v>
                </c:pt>
                <c:pt idx="2">
                  <c:v>2.6075578096276595</c:v>
                </c:pt>
                <c:pt idx="3">
                  <c:v>3.7187530764370571</c:v>
                </c:pt>
                <c:pt idx="4">
                  <c:v>4.2797614791560248</c:v>
                </c:pt>
                <c:pt idx="5">
                  <c:v>5.2623795470572698</c:v>
                </c:pt>
                <c:pt idx="6">
                  <c:v>5.3996629010275408</c:v>
                </c:pt>
                <c:pt idx="7">
                  <c:v>5.7301876751172642</c:v>
                </c:pt>
                <c:pt idx="8">
                  <c:v>6.0614059602413155</c:v>
                </c:pt>
                <c:pt idx="9">
                  <c:v>6.042400595964601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E4-43E7-A62D-BC39912CC652}"/>
            </c:ext>
          </c:extLst>
        </c:ser>
        <c:ser>
          <c:idx val="0"/>
          <c:order val="1"/>
          <c:tx>
            <c:v>07.11.24_CaCl2 MC3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'NF270_MC3 07.11.24_CaCl2'!$D$2:$D$11</c:f>
              <c:numCache>
                <c:formatCode>0.00</c:formatCode>
                <c:ptCount val="10"/>
                <c:pt idx="0">
                  <c:v>18.296203258370401</c:v>
                </c:pt>
                <c:pt idx="1">
                  <c:v>32.994323392711699</c:v>
                </c:pt>
                <c:pt idx="2">
                  <c:v>45.5483294972842</c:v>
                </c:pt>
                <c:pt idx="3">
                  <c:v>57.129158317022203</c:v>
                </c:pt>
                <c:pt idx="4">
                  <c:v>67.360481192931204</c:v>
                </c:pt>
                <c:pt idx="5">
                  <c:v>76.176004871585306</c:v>
                </c:pt>
                <c:pt idx="6">
                  <c:v>84.054071289950997</c:v>
                </c:pt>
                <c:pt idx="7">
                  <c:v>91.200686888011404</c:v>
                </c:pt>
                <c:pt idx="8">
                  <c:v>97.8438329297488</c:v>
                </c:pt>
                <c:pt idx="9">
                  <c:v>103.408473723254</c:v>
                </c:pt>
              </c:numCache>
            </c:numRef>
          </c:xVal>
          <c:yVal>
            <c:numRef>
              <c:f>'NF270_MC3 07.11.24_CaCl2'!$L$2:$L$11</c:f>
              <c:numCache>
                <c:formatCode>0.00</c:formatCode>
                <c:ptCount val="10"/>
                <c:pt idx="0">
                  <c:v>1.4306357958668114</c:v>
                </c:pt>
                <c:pt idx="1">
                  <c:v>3.37718683334964</c:v>
                </c:pt>
                <c:pt idx="2">
                  <c:v>5.3529977270831672</c:v>
                </c:pt>
                <c:pt idx="3">
                  <c:v>5.5084862454364627</c:v>
                </c:pt>
                <c:pt idx="4">
                  <c:v>5.3985510171731264</c:v>
                </c:pt>
                <c:pt idx="5">
                  <c:v>5.5915862275884605</c:v>
                </c:pt>
                <c:pt idx="6">
                  <c:v>5.6261489221063723</c:v>
                </c:pt>
                <c:pt idx="7">
                  <c:v>5.1859384558376673</c:v>
                </c:pt>
                <c:pt idx="8">
                  <c:v>4.7078544200856918</c:v>
                </c:pt>
                <c:pt idx="9">
                  <c:v>4.812899382495508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E4-43E7-A62D-BC39912CC652}"/>
            </c:ext>
          </c:extLst>
        </c:ser>
        <c:ser>
          <c:idx val="1"/>
          <c:order val="2"/>
          <c:tx>
            <c:v>07.11.24_SCaCl2 MC3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'NF270_MC3 07.11.24_SCaCl2'!$D$2:$D$11</c:f>
              <c:numCache>
                <c:formatCode>0.00</c:formatCode>
                <c:ptCount val="10"/>
                <c:pt idx="0">
                  <c:v>17.734576910238399</c:v>
                </c:pt>
                <c:pt idx="1">
                  <c:v>29.1790454583581</c:v>
                </c:pt>
                <c:pt idx="2">
                  <c:v>39.674275513791699</c:v>
                </c:pt>
                <c:pt idx="3">
                  <c:v>49.720594461583502</c:v>
                </c:pt>
                <c:pt idx="4">
                  <c:v>59.123977983058801</c:v>
                </c:pt>
                <c:pt idx="5">
                  <c:v>67.916385451010996</c:v>
                </c:pt>
                <c:pt idx="6">
                  <c:v>76.265889071342002</c:v>
                </c:pt>
                <c:pt idx="7">
                  <c:v>84.221356160849297</c:v>
                </c:pt>
                <c:pt idx="8">
                  <c:v>91.809207813691799</c:v>
                </c:pt>
                <c:pt idx="9">
                  <c:v>97.775059353770999</c:v>
                </c:pt>
              </c:numCache>
            </c:numRef>
          </c:xVal>
          <c:yVal>
            <c:numRef>
              <c:f>'NF270_MC3 07.11.24_SCaCl2'!$L$2:$L$11</c:f>
              <c:numCache>
                <c:formatCode>0.00</c:formatCode>
                <c:ptCount val="10"/>
                <c:pt idx="0">
                  <c:v>0.77080100069486868</c:v>
                </c:pt>
                <c:pt idx="1">
                  <c:v>1.8422100415642639</c:v>
                </c:pt>
                <c:pt idx="2">
                  <c:v>3.2525716747236553</c:v>
                </c:pt>
                <c:pt idx="3">
                  <c:v>3.7410141768864351</c:v>
                </c:pt>
                <c:pt idx="4">
                  <c:v>3.896763723896008</c:v>
                </c:pt>
                <c:pt idx="5">
                  <c:v>4.0247631134028428</c:v>
                </c:pt>
                <c:pt idx="6">
                  <c:v>4.24110762254415</c:v>
                </c:pt>
                <c:pt idx="7">
                  <c:v>4.3197432898184065</c:v>
                </c:pt>
                <c:pt idx="8">
                  <c:v>4.2041208946667838</c:v>
                </c:pt>
                <c:pt idx="9">
                  <c:v>4.2135425490394205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E4-43E7-A62D-BC39912CC652}"/>
            </c:ext>
          </c:extLst>
        </c:ser>
        <c:ser>
          <c:idx val="2"/>
          <c:order val="3"/>
          <c:tx>
            <c:v>07.12.24_S2CaCl2 MC3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'NF270_MC3 07.12.24_S2CaCl2'!$D$2:$D$11</c:f>
              <c:numCache>
                <c:formatCode>0.00</c:formatCode>
                <c:ptCount val="10"/>
                <c:pt idx="0">
                  <c:v>12.715091279790499</c:v>
                </c:pt>
                <c:pt idx="1">
                  <c:v>25.246714896107001</c:v>
                </c:pt>
                <c:pt idx="2">
                  <c:v>36.342350215687603</c:v>
                </c:pt>
                <c:pt idx="3">
                  <c:v>45.547207694305897</c:v>
                </c:pt>
                <c:pt idx="4">
                  <c:v>54.303527781294797</c:v>
                </c:pt>
                <c:pt idx="5">
                  <c:v>62.4245447426757</c:v>
                </c:pt>
                <c:pt idx="6">
                  <c:v>69.563423928487396</c:v>
                </c:pt>
                <c:pt idx="7">
                  <c:v>76.693069584797499</c:v>
                </c:pt>
                <c:pt idx="8">
                  <c:v>82.469064265155296</c:v>
                </c:pt>
                <c:pt idx="9">
                  <c:v>87.965047184182495</c:v>
                </c:pt>
              </c:numCache>
            </c:numRef>
          </c:xVal>
          <c:yVal>
            <c:numRef>
              <c:f>'NF270_MC3 07.12.24_S2CaCl2'!$L$2:$L$11</c:f>
              <c:numCache>
                <c:formatCode>0.00</c:formatCode>
                <c:ptCount val="10"/>
                <c:pt idx="0">
                  <c:v>0.8928066507880873</c:v>
                </c:pt>
                <c:pt idx="1">
                  <c:v>1.8853298406906998</c:v>
                </c:pt>
                <c:pt idx="2">
                  <c:v>3.4787209724060926</c:v>
                </c:pt>
                <c:pt idx="3">
                  <c:v>5.2683858732449851</c:v>
                </c:pt>
                <c:pt idx="4">
                  <c:v>5.4229625464509805</c:v>
                </c:pt>
                <c:pt idx="5">
                  <c:v>4.8488335821896875</c:v>
                </c:pt>
                <c:pt idx="6">
                  <c:v>4.9256750033154875</c:v>
                </c:pt>
                <c:pt idx="7">
                  <c:v>3.9232893576403192</c:v>
                </c:pt>
                <c:pt idx="8">
                  <c:v>4.2072337729152922</c:v>
                </c:pt>
                <c:pt idx="9">
                  <c:v>3.7567014205665319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E4-43E7-A62D-BC39912CC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6010976"/>
        <c:axId val="1386007136"/>
      </c:scatterChart>
      <c:valAx>
        <c:axId val="1386010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CaCl2 Ionic Strength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007136"/>
        <c:crosses val="autoZero"/>
        <c:crossBetween val="midCat"/>
      </c:valAx>
      <c:valAx>
        <c:axId val="1386007136"/>
        <c:scaling>
          <c:orientation val="minMax"/>
          <c:max val="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B (um/s)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010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860939355614981"/>
          <c:y val="4.2399729330708701E-2"/>
          <c:w val="0.30099905138400329"/>
          <c:h val="0.226582236302493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81872731798709"/>
          <c:y val="5.0961315728515172E-2"/>
          <c:w val="0.80225311270367405"/>
          <c:h val="0.82936460564293635"/>
        </c:manualLayout>
      </c:layout>
      <c:scatterChart>
        <c:scatterStyle val="lineMarker"/>
        <c:varyColors val="0"/>
        <c:ser>
          <c:idx val="0"/>
          <c:order val="0"/>
          <c:tx>
            <c:v>05.21.24_LaCl3 MC2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'NF270_MC2 05.21.24_LaCl3'!$D$2:$D$11</c:f>
              <c:numCache>
                <c:formatCode>0.00</c:formatCode>
                <c:ptCount val="10"/>
                <c:pt idx="0">
                  <c:v>16.602366874489501</c:v>
                </c:pt>
                <c:pt idx="1">
                  <c:v>28.6650278114823</c:v>
                </c:pt>
                <c:pt idx="2">
                  <c:v>39.986640282849102</c:v>
                </c:pt>
                <c:pt idx="3">
                  <c:v>51.3915747993588</c:v>
                </c:pt>
                <c:pt idx="4">
                  <c:v>62.530717630378398</c:v>
                </c:pt>
                <c:pt idx="5">
                  <c:v>73.346408508167599</c:v>
                </c:pt>
                <c:pt idx="6">
                  <c:v>84.086896487118906</c:v>
                </c:pt>
                <c:pt idx="7">
                  <c:v>94.497748427955599</c:v>
                </c:pt>
                <c:pt idx="8">
                  <c:v>104.687329159079</c:v>
                </c:pt>
                <c:pt idx="9">
                  <c:v>114.64371433632699</c:v>
                </c:pt>
              </c:numCache>
            </c:numRef>
          </c:xVal>
          <c:yVal>
            <c:numRef>
              <c:f>'NF270_MC2 05.21.24_LaCl3'!$L$2:$L$11</c:f>
              <c:numCache>
                <c:formatCode>0.00</c:formatCode>
                <c:ptCount val="10"/>
                <c:pt idx="0">
                  <c:v>0.1754018729495255</c:v>
                </c:pt>
                <c:pt idx="1">
                  <c:v>0.17697926732815877</c:v>
                </c:pt>
                <c:pt idx="2">
                  <c:v>0.20397418236552128</c:v>
                </c:pt>
                <c:pt idx="3">
                  <c:v>0.2077346868956382</c:v>
                </c:pt>
                <c:pt idx="4">
                  <c:v>0.20434893359410203</c:v>
                </c:pt>
                <c:pt idx="5">
                  <c:v>0.19767421221245776</c:v>
                </c:pt>
                <c:pt idx="6">
                  <c:v>0.19345898133660602</c:v>
                </c:pt>
                <c:pt idx="7">
                  <c:v>0.19030233835498775</c:v>
                </c:pt>
                <c:pt idx="8">
                  <c:v>0.18446862167990541</c:v>
                </c:pt>
                <c:pt idx="9">
                  <c:v>0.18645466793918181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A0-4795-87D8-A6BE5926B49C}"/>
            </c:ext>
          </c:extLst>
        </c:ser>
        <c:ser>
          <c:idx val="1"/>
          <c:order val="1"/>
          <c:tx>
            <c:v>07.11.24_SLaCl3 MC4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'NF270_MC4 07.11.24_SLaCl3'!$D$2:$D$11</c:f>
              <c:numCache>
                <c:formatCode>0.00</c:formatCode>
                <c:ptCount val="10"/>
                <c:pt idx="0">
                  <c:v>10.8454569389399</c:v>
                </c:pt>
                <c:pt idx="1">
                  <c:v>22.642624951356201</c:v>
                </c:pt>
                <c:pt idx="2">
                  <c:v>34.361194654342</c:v>
                </c:pt>
                <c:pt idx="3">
                  <c:v>45.8085170008452</c:v>
                </c:pt>
                <c:pt idx="4">
                  <c:v>56.826824892012198</c:v>
                </c:pt>
                <c:pt idx="5">
                  <c:v>67.574943704659404</c:v>
                </c:pt>
                <c:pt idx="6">
                  <c:v>78.347051496284905</c:v>
                </c:pt>
                <c:pt idx="7">
                  <c:v>88.593198967373596</c:v>
                </c:pt>
                <c:pt idx="8">
                  <c:v>98.465380981613194</c:v>
                </c:pt>
                <c:pt idx="9">
                  <c:v>108.02662954634</c:v>
                </c:pt>
              </c:numCache>
            </c:numRef>
          </c:xVal>
          <c:yVal>
            <c:numRef>
              <c:f>'NF270_MC4 07.11.24_SLaCl3'!$L$2:$L$11</c:f>
              <c:numCache>
                <c:formatCode>0.00</c:formatCode>
                <c:ptCount val="10"/>
                <c:pt idx="0">
                  <c:v>0.12966744742391464</c:v>
                </c:pt>
                <c:pt idx="1">
                  <c:v>0.11255655899738884</c:v>
                </c:pt>
                <c:pt idx="2">
                  <c:v>0.14915849804404355</c:v>
                </c:pt>
                <c:pt idx="3">
                  <c:v>0.14423130654419616</c:v>
                </c:pt>
                <c:pt idx="4">
                  <c:v>0.1391882801492596</c:v>
                </c:pt>
                <c:pt idx="5">
                  <c:v>0.1320329760156575</c:v>
                </c:pt>
                <c:pt idx="6">
                  <c:v>0.12963622521069978</c:v>
                </c:pt>
                <c:pt idx="7">
                  <c:v>0.13548627761178203</c:v>
                </c:pt>
                <c:pt idx="8">
                  <c:v>0.12425864169478275</c:v>
                </c:pt>
                <c:pt idx="9">
                  <c:v>0.11891421717609271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A0-4795-87D8-A6BE5926B4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6010976"/>
        <c:axId val="1386007136"/>
      </c:scatterChart>
      <c:valAx>
        <c:axId val="1386010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LaCl3 Ionic Strength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007136"/>
        <c:crosses val="autoZero"/>
        <c:crossBetween val="midCat"/>
      </c:valAx>
      <c:valAx>
        <c:axId val="1386007136"/>
        <c:scaling>
          <c:orientation val="minMax"/>
          <c:max val="0.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B (um/s)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010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961088560620527"/>
          <c:y val="3.9593585958005259E-2"/>
          <c:w val="0.21235002030736175"/>
          <c:h val="0.108460615249841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361473</xdr:colOff>
      <xdr:row>0</xdr:row>
      <xdr:rowOff>112870</xdr:rowOff>
    </xdr:from>
    <xdr:to>
      <xdr:col>4</xdr:col>
      <xdr:colOff>199548</xdr:colOff>
      <xdr:row>22</xdr:row>
      <xdr:rowOff>85247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1A02EF-6FB3-138F-DF50-DE1073E68A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416719</xdr:colOff>
      <xdr:row>0</xdr:row>
      <xdr:rowOff>129064</xdr:rowOff>
    </xdr:from>
    <xdr:to>
      <xdr:col>12</xdr:col>
      <xdr:colOff>483394</xdr:colOff>
      <xdr:row>22</xdr:row>
      <xdr:rowOff>101441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A0F50C-7246-4523-B1F5-0FDCEA5E14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586264</xdr:colOff>
      <xdr:row>0</xdr:row>
      <xdr:rowOff>121444</xdr:rowOff>
    </xdr:from>
    <xdr:to>
      <xdr:col>21</xdr:col>
      <xdr:colOff>567214</xdr:colOff>
      <xdr:row>22</xdr:row>
      <xdr:rowOff>91916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924AC69-E440-4AEA-81BC-DB50B5AB5F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345281</xdr:colOff>
      <xdr:row>24</xdr:row>
      <xdr:rowOff>59532</xdr:rowOff>
    </xdr:from>
    <xdr:to>
      <xdr:col>4</xdr:col>
      <xdr:colOff>187166</xdr:colOff>
      <xdr:row>46</xdr:row>
      <xdr:rowOff>33814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487891C-C87F-456C-B23F-B456AC5486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391000</xdr:colOff>
      <xdr:row>24</xdr:row>
      <xdr:rowOff>57627</xdr:rowOff>
    </xdr:from>
    <xdr:to>
      <xdr:col>12</xdr:col>
      <xdr:colOff>457675</xdr:colOff>
      <xdr:row>46</xdr:row>
      <xdr:rowOff>30004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605EB4C-0878-4764-82C9-2A053AAE7A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583406</xdr:colOff>
      <xdr:row>24</xdr:row>
      <xdr:rowOff>23813</xdr:rowOff>
    </xdr:from>
    <xdr:to>
      <xdr:col>21</xdr:col>
      <xdr:colOff>568166</xdr:colOff>
      <xdr:row>45</xdr:row>
      <xdr:rowOff>174784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42DC83C-9198-4FB8-A870-5F9CBCCA09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BEAF5-E2DD-4962-B4C0-CF5C7A65D4D5}">
  <dimension ref="A1:G11"/>
  <sheetViews>
    <sheetView zoomScale="80" zoomScaleNormal="80" workbookViewId="0">
      <selection activeCell="W42" sqref="W42"/>
    </sheetView>
  </sheetViews>
  <sheetFormatPr defaultRowHeight="14.4" x14ac:dyDescent="0.55000000000000004"/>
  <cols>
    <col min="1" max="1" width="24.05078125" bestFit="1" customWidth="1"/>
    <col min="2" max="2" width="28.83984375" bestFit="1" customWidth="1"/>
    <col min="3" max="3" width="16" bestFit="1" customWidth="1"/>
    <col min="4" max="4" width="12.3125" bestFit="1" customWidth="1"/>
    <col min="5" max="5" width="12.15625" bestFit="1" customWidth="1"/>
    <col min="6" max="6" width="13.20703125" bestFit="1" customWidth="1"/>
  </cols>
  <sheetData>
    <row r="1" spans="1:7" x14ac:dyDescent="0.55000000000000004">
      <c r="A1" s="1"/>
    </row>
    <row r="2" spans="1:7" x14ac:dyDescent="0.55000000000000004">
      <c r="B2" s="2"/>
      <c r="C2" s="2"/>
      <c r="D2" s="2"/>
      <c r="E2" s="3"/>
      <c r="F2" s="2"/>
      <c r="G2" s="2"/>
    </row>
    <row r="3" spans="1:7" x14ac:dyDescent="0.55000000000000004">
      <c r="B3" s="2"/>
      <c r="C3" s="2"/>
      <c r="D3" s="2"/>
      <c r="E3" s="3"/>
      <c r="F3" s="2"/>
      <c r="G3" s="2"/>
    </row>
    <row r="4" spans="1:7" x14ac:dyDescent="0.55000000000000004">
      <c r="B4" s="2"/>
      <c r="C4" s="2"/>
      <c r="D4" s="2"/>
      <c r="E4" s="3"/>
      <c r="F4" s="2"/>
      <c r="G4" s="2"/>
    </row>
    <row r="5" spans="1:7" x14ac:dyDescent="0.55000000000000004">
      <c r="B5" s="2"/>
      <c r="C5" s="2"/>
      <c r="D5" s="2"/>
      <c r="E5" s="3"/>
      <c r="F5" s="2"/>
      <c r="G5" s="2"/>
    </row>
    <row r="6" spans="1:7" x14ac:dyDescent="0.55000000000000004">
      <c r="B6" s="2"/>
      <c r="C6" s="2"/>
      <c r="D6" s="2"/>
      <c r="E6" s="3"/>
      <c r="F6" s="2"/>
      <c r="G6" s="2"/>
    </row>
    <row r="7" spans="1:7" x14ac:dyDescent="0.55000000000000004">
      <c r="B7" s="2"/>
      <c r="C7" s="2"/>
      <c r="D7" s="2"/>
      <c r="E7" s="3"/>
      <c r="F7" s="2"/>
      <c r="G7" s="2"/>
    </row>
    <row r="8" spans="1:7" x14ac:dyDescent="0.55000000000000004">
      <c r="B8" s="2"/>
      <c r="C8" s="2"/>
      <c r="D8" s="2"/>
      <c r="E8" s="3"/>
      <c r="F8" s="2"/>
      <c r="G8" s="2"/>
    </row>
    <row r="9" spans="1:7" x14ac:dyDescent="0.55000000000000004">
      <c r="B9" s="2"/>
      <c r="C9" s="2"/>
      <c r="D9" s="2"/>
      <c r="E9" s="3"/>
      <c r="F9" s="2"/>
      <c r="G9" s="2"/>
    </row>
    <row r="10" spans="1:7" x14ac:dyDescent="0.55000000000000004">
      <c r="B10" s="2"/>
      <c r="C10" s="2"/>
      <c r="D10" s="2"/>
      <c r="E10" s="3"/>
      <c r="F10" s="2"/>
      <c r="G10" s="2"/>
    </row>
    <row r="11" spans="1:7" x14ac:dyDescent="0.55000000000000004">
      <c r="B11" s="2"/>
      <c r="C11" s="2"/>
      <c r="D11" s="2"/>
      <c r="E11" s="3"/>
      <c r="F11" s="2"/>
      <c r="G11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68A8B-E544-4CF7-9226-5227263613FC}">
  <dimension ref="A1:L11"/>
  <sheetViews>
    <sheetView tabSelected="1" zoomScale="80" zoomScaleNormal="80" workbookViewId="0">
      <selection activeCell="B22" sqref="B22"/>
    </sheetView>
  </sheetViews>
  <sheetFormatPr defaultRowHeight="14.4" x14ac:dyDescent="0.55000000000000004"/>
  <cols>
    <col min="1" max="1" width="24.05078125" bestFit="1" customWidth="1"/>
    <col min="2" max="2" width="28.83984375" bestFit="1" customWidth="1"/>
    <col min="3" max="3" width="29.3671875" bestFit="1" customWidth="1"/>
    <col min="4" max="4" width="16" bestFit="1" customWidth="1"/>
    <col min="5" max="5" width="12.15625" bestFit="1" customWidth="1"/>
    <col min="6" max="6" width="12.3125" bestFit="1" customWidth="1"/>
    <col min="7" max="7" width="12.83984375" bestFit="1" customWidth="1"/>
    <col min="8" max="8" width="28.41796875" bestFit="1" customWidth="1"/>
    <col min="9" max="9" width="28.9453125" bestFit="1" customWidth="1"/>
    <col min="10" max="10" width="11.5234375" bestFit="1" customWidth="1"/>
    <col min="11" max="11" width="12.5234375" bestFit="1" customWidth="1"/>
    <col min="12" max="12" width="7.26171875" bestFit="1" customWidth="1"/>
  </cols>
  <sheetData>
    <row r="1" spans="1:12" ht="28.8" x14ac:dyDescent="0.55000000000000004">
      <c r="A1" s="1" t="s">
        <v>5</v>
      </c>
      <c r="B1" t="s">
        <v>1</v>
      </c>
      <c r="C1" t="s">
        <v>17</v>
      </c>
      <c r="D1" t="s">
        <v>0</v>
      </c>
      <c r="E1" t="s">
        <v>14</v>
      </c>
      <c r="F1" t="s">
        <v>3</v>
      </c>
      <c r="G1" t="s">
        <v>15</v>
      </c>
      <c r="H1" t="s">
        <v>11</v>
      </c>
      <c r="I1" t="s">
        <v>16</v>
      </c>
      <c r="J1" t="s">
        <v>8</v>
      </c>
      <c r="K1" t="s">
        <v>9</v>
      </c>
      <c r="L1" t="s">
        <v>10</v>
      </c>
    </row>
    <row r="2" spans="1:12" x14ac:dyDescent="0.55000000000000004">
      <c r="B2" s="2">
        <v>8.38947867068104</v>
      </c>
      <c r="D2" s="2">
        <v>8.38947867068104</v>
      </c>
      <c r="F2" s="2">
        <v>0.74726027080548296</v>
      </c>
      <c r="J2" s="3">
        <v>9.9084445477162407E-6</v>
      </c>
      <c r="K2" s="2">
        <f>J2*10^6</f>
        <v>9.9084445477162415</v>
      </c>
      <c r="L2" s="2">
        <f>K2*((1-F2)/F2)</f>
        <v>3.3512521534556026</v>
      </c>
    </row>
    <row r="3" spans="1:12" x14ac:dyDescent="0.55000000000000004">
      <c r="B3" s="2">
        <v>12.9506521731372</v>
      </c>
      <c r="D3" s="2">
        <v>12.9506521731372</v>
      </c>
      <c r="F3" s="2">
        <v>0.74313535481631199</v>
      </c>
      <c r="J3" s="3">
        <v>9.3804047575956397E-6</v>
      </c>
      <c r="K3" s="2">
        <f t="shared" ref="K3:K11" si="0">J3*10^6</f>
        <v>9.38040475759564</v>
      </c>
      <c r="L3" s="2">
        <f>K3*((1-F3)/F3)</f>
        <v>3.2423357657835581</v>
      </c>
    </row>
    <row r="4" spans="1:12" x14ac:dyDescent="0.55000000000000004">
      <c r="B4" s="2">
        <v>17.205717891006898</v>
      </c>
      <c r="D4" s="2">
        <v>17.205717891006898</v>
      </c>
      <c r="F4" s="2">
        <v>0.69005070749009501</v>
      </c>
      <c r="J4" s="3">
        <v>8.9017651954957304E-6</v>
      </c>
      <c r="K4" s="2">
        <f t="shared" si="0"/>
        <v>8.9017651954957309</v>
      </c>
      <c r="L4" s="2">
        <f>K4*((1-F4)/F4)</f>
        <v>3.9983957620575326</v>
      </c>
    </row>
    <row r="5" spans="1:12" x14ac:dyDescent="0.55000000000000004">
      <c r="B5" s="2">
        <v>21.2210864641801</v>
      </c>
      <c r="D5" s="2">
        <v>21.2210864641801</v>
      </c>
      <c r="F5" s="2">
        <v>0.63819248623491698</v>
      </c>
      <c r="J5" s="3">
        <v>8.5334073268048905E-6</v>
      </c>
      <c r="K5" s="2">
        <f t="shared" si="0"/>
        <v>8.5334073268048911</v>
      </c>
      <c r="L5" s="2">
        <f>K5*((1-F5)/F5)</f>
        <v>4.8378051378679787</v>
      </c>
    </row>
    <row r="6" spans="1:12" x14ac:dyDescent="0.55000000000000004">
      <c r="B6" s="2">
        <v>24.989978934244501</v>
      </c>
      <c r="D6" s="2">
        <v>24.989978934244501</v>
      </c>
      <c r="F6" s="2">
        <v>0.591264725633182</v>
      </c>
      <c r="J6" s="3">
        <v>8.2694033845209206E-6</v>
      </c>
      <c r="K6" s="2">
        <f t="shared" si="0"/>
        <v>8.2694033845209205</v>
      </c>
      <c r="L6" s="2">
        <f>K6*((1-F6)/F6)</f>
        <v>5.7165542179138669</v>
      </c>
    </row>
    <row r="7" spans="1:12" x14ac:dyDescent="0.55000000000000004">
      <c r="B7" s="2">
        <v>28.383790786113</v>
      </c>
      <c r="D7" s="2">
        <v>28.383790786113</v>
      </c>
      <c r="F7" s="2">
        <v>0.53979268198200603</v>
      </c>
      <c r="J7" s="3">
        <v>8.0473396777173393E-6</v>
      </c>
      <c r="K7" s="2">
        <f t="shared" si="0"/>
        <v>8.0473396777173392</v>
      </c>
      <c r="L7" s="2">
        <f>K7*((1-F7)/F7)</f>
        <v>6.860864798433</v>
      </c>
    </row>
    <row r="8" spans="1:12" x14ac:dyDescent="0.55000000000000004">
      <c r="B8" s="2">
        <v>31.6311410856778</v>
      </c>
      <c r="D8" s="2">
        <v>31.6311410856778</v>
      </c>
      <c r="F8" s="2">
        <v>0.52235097425162802</v>
      </c>
      <c r="J8" s="3">
        <v>7.8122330009804404E-6</v>
      </c>
      <c r="K8" s="2">
        <f t="shared" si="0"/>
        <v>7.8122330009804406</v>
      </c>
      <c r="L8" s="2">
        <f>K8*((1-F8)/F8)</f>
        <v>7.1436747814698993</v>
      </c>
    </row>
    <row r="9" spans="1:12" x14ac:dyDescent="0.55000000000000004">
      <c r="B9" s="2">
        <v>34.663540306496699</v>
      </c>
      <c r="D9" s="2">
        <v>34.663540306496699</v>
      </c>
      <c r="F9" s="2">
        <v>0.504489928211592</v>
      </c>
      <c r="J9" s="3">
        <v>7.5578105887382898E-6</v>
      </c>
      <c r="K9" s="2">
        <f t="shared" si="0"/>
        <v>7.55781058873829</v>
      </c>
      <c r="L9" s="2">
        <f>K9*((1-F9)/F9)</f>
        <v>7.4232825235277895</v>
      </c>
    </row>
    <row r="10" spans="1:12" x14ac:dyDescent="0.55000000000000004">
      <c r="B10" s="2">
        <v>37.485866768347499</v>
      </c>
      <c r="D10" s="2">
        <v>37.485866768347499</v>
      </c>
      <c r="F10" s="2">
        <v>0.47623955147873698</v>
      </c>
      <c r="J10" s="3">
        <v>7.3781215806514798E-6</v>
      </c>
      <c r="K10" s="2">
        <f t="shared" si="0"/>
        <v>7.3781215806514799</v>
      </c>
      <c r="L10" s="2">
        <f>K10*((1-F10)/F10)</f>
        <v>8.1143371152762498</v>
      </c>
    </row>
    <row r="11" spans="1:12" x14ac:dyDescent="0.55000000000000004">
      <c r="B11" s="2">
        <v>39.719769007928399</v>
      </c>
      <c r="D11" s="2">
        <v>39.719769007928399</v>
      </c>
      <c r="F11" s="2">
        <v>0.44557722883122902</v>
      </c>
      <c r="J11" s="3">
        <v>7.5475510282767098E-6</v>
      </c>
      <c r="K11" s="2">
        <f t="shared" si="0"/>
        <v>7.5475510282767093</v>
      </c>
      <c r="L11" s="2">
        <f>K11*((1-F11)/F11)</f>
        <v>9.3912657242631514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B522D-91B7-47EC-ACEA-6595069F3496}">
  <dimension ref="A1:L11"/>
  <sheetViews>
    <sheetView zoomScale="80" zoomScaleNormal="80" workbookViewId="0"/>
  </sheetViews>
  <sheetFormatPr defaultRowHeight="14.4" x14ac:dyDescent="0.55000000000000004"/>
  <cols>
    <col min="1" max="1" width="24.05078125" bestFit="1" customWidth="1"/>
    <col min="2" max="2" width="28.83984375" bestFit="1" customWidth="1"/>
    <col min="3" max="3" width="29.3671875" bestFit="1" customWidth="1"/>
    <col min="4" max="4" width="16" bestFit="1" customWidth="1"/>
    <col min="5" max="5" width="11.5234375" bestFit="1" customWidth="1"/>
    <col min="6" max="6" width="12.3125" bestFit="1" customWidth="1"/>
    <col min="7" max="7" width="12.83984375" bestFit="1" customWidth="1"/>
    <col min="8" max="8" width="28.41796875" bestFit="1" customWidth="1"/>
    <col min="9" max="9" width="28.9453125" bestFit="1" customWidth="1"/>
    <col min="10" max="10" width="11.5234375" bestFit="1" customWidth="1"/>
    <col min="11" max="11" width="12.5234375" bestFit="1" customWidth="1"/>
    <col min="12" max="12" width="7.26171875" bestFit="1" customWidth="1"/>
  </cols>
  <sheetData>
    <row r="1" spans="1:12" ht="28.8" x14ac:dyDescent="0.55000000000000004">
      <c r="A1" s="1" t="s">
        <v>5</v>
      </c>
      <c r="B1" t="s">
        <v>1</v>
      </c>
      <c r="C1" t="s">
        <v>17</v>
      </c>
      <c r="D1" t="s">
        <v>0</v>
      </c>
      <c r="E1" t="s">
        <v>14</v>
      </c>
      <c r="F1" t="s">
        <v>3</v>
      </c>
      <c r="G1" t="s">
        <v>15</v>
      </c>
      <c r="H1" t="s">
        <v>11</v>
      </c>
      <c r="I1" t="s">
        <v>16</v>
      </c>
      <c r="J1" t="s">
        <v>8</v>
      </c>
      <c r="K1" t="s">
        <v>9</v>
      </c>
      <c r="L1" t="s">
        <v>10</v>
      </c>
    </row>
    <row r="2" spans="1:12" x14ac:dyDescent="0.55000000000000004">
      <c r="B2" s="2">
        <v>71.116034073385094</v>
      </c>
      <c r="D2" s="2">
        <v>71.116034073385094</v>
      </c>
      <c r="F2" s="2">
        <v>0.123597777715233</v>
      </c>
      <c r="J2" s="3">
        <v>7.5112663095240102E-6</v>
      </c>
      <c r="K2" s="2">
        <f>J2*10^6</f>
        <v>7.51126630952401</v>
      </c>
      <c r="L2" s="2">
        <f>K2*((1-F2)/F2)</f>
        <v>53.260589369223126</v>
      </c>
    </row>
    <row r="3" spans="1:12" x14ac:dyDescent="0.55000000000000004">
      <c r="B3" s="2">
        <v>55.089937242252503</v>
      </c>
      <c r="D3" s="2">
        <v>55.089937242252503</v>
      </c>
      <c r="F3" s="2">
        <v>1.2043385006165501E-2</v>
      </c>
      <c r="J3" s="3">
        <v>7.5196450446035502E-6</v>
      </c>
      <c r="K3" s="2">
        <f t="shared" ref="K3:K11" si="0">J3*10^6</f>
        <v>7.5196450446035499</v>
      </c>
      <c r="L3" s="2">
        <f>K3*((1-F3)/F3)</f>
        <v>616.86004893295637</v>
      </c>
    </row>
    <row r="4" spans="1:12" x14ac:dyDescent="0.55000000000000004">
      <c r="B4" s="2">
        <v>43.526527811384497</v>
      </c>
      <c r="D4" s="2">
        <v>43.526527811384497</v>
      </c>
      <c r="F4" s="2">
        <v>2.8839262884393101E-2</v>
      </c>
      <c r="J4" s="3">
        <v>7.7884893574805602E-6</v>
      </c>
      <c r="K4" s="2">
        <f t="shared" si="0"/>
        <v>7.78848935748056</v>
      </c>
      <c r="L4" s="2">
        <f>K4*((1-F4)/F4)</f>
        <v>262.27699007942437</v>
      </c>
    </row>
    <row r="5" spans="1:12" x14ac:dyDescent="0.55000000000000004">
      <c r="B5" s="2">
        <v>34.403383028572698</v>
      </c>
      <c r="D5" s="2">
        <v>34.403383028572698</v>
      </c>
      <c r="F5" s="2">
        <v>3.0726368511511701E-2</v>
      </c>
      <c r="J5" s="3">
        <v>8.09708928955273E-6</v>
      </c>
      <c r="K5" s="2">
        <f t="shared" si="0"/>
        <v>8.0970892895527307</v>
      </c>
      <c r="L5" s="2">
        <f>K5*((1-F5)/F5)</f>
        <v>255.42540561638251</v>
      </c>
    </row>
    <row r="6" spans="1:12" x14ac:dyDescent="0.55000000000000004">
      <c r="B6" s="2">
        <v>27.480137089250999</v>
      </c>
      <c r="D6" s="2">
        <v>27.480137089250999</v>
      </c>
      <c r="F6" s="2">
        <v>5.59126802495028E-2</v>
      </c>
      <c r="J6" s="3">
        <v>8.3559573460216004E-6</v>
      </c>
      <c r="K6" s="2">
        <f t="shared" si="0"/>
        <v>8.3559573460216008</v>
      </c>
      <c r="L6" s="2">
        <f>K6*((1-F6)/F6)</f>
        <v>141.09059589975857</v>
      </c>
    </row>
    <row r="7" spans="1:12" x14ac:dyDescent="0.55000000000000004">
      <c r="B7" s="2">
        <v>22.129134670741401</v>
      </c>
      <c r="D7" s="2">
        <v>22.129134670741401</v>
      </c>
      <c r="F7" s="2">
        <v>8.1387573177970393E-2</v>
      </c>
      <c r="J7" s="3">
        <v>8.5556606958298605E-6</v>
      </c>
      <c r="K7" s="2">
        <f t="shared" si="0"/>
        <v>8.5556606958298609</v>
      </c>
      <c r="L7" s="2">
        <f>K7*((1-F7)/F7)</f>
        <v>96.566784436195121</v>
      </c>
    </row>
    <row r="8" spans="1:12" x14ac:dyDescent="0.55000000000000004">
      <c r="B8" s="2">
        <v>17.6488958868011</v>
      </c>
      <c r="D8" s="2">
        <v>17.6488958868011</v>
      </c>
      <c r="F8" s="2">
        <v>5.3274470959759498E-2</v>
      </c>
      <c r="J8" s="3">
        <v>8.7250912546332397E-6</v>
      </c>
      <c r="K8" s="2">
        <f t="shared" si="0"/>
        <v>8.7250912546332398</v>
      </c>
      <c r="L8" s="2">
        <f>K8*((1-F8)/F8)</f>
        <v>155.05112458472587</v>
      </c>
    </row>
    <row r="9" spans="1:12" x14ac:dyDescent="0.55000000000000004">
      <c r="B9" s="2">
        <v>13.969114627953701</v>
      </c>
      <c r="D9" s="2">
        <v>13.969114627953701</v>
      </c>
      <c r="F9" s="2">
        <v>7.50851094574245E-3</v>
      </c>
      <c r="J9" s="3">
        <v>8.9019340787275602E-6</v>
      </c>
      <c r="K9" s="2">
        <f t="shared" si="0"/>
        <v>8.9019340787275603</v>
      </c>
      <c r="L9" s="2">
        <f>K9*((1-F9)/F9)</f>
        <v>1176.677223100929</v>
      </c>
    </row>
    <row r="10" spans="1:12" x14ac:dyDescent="0.55000000000000004">
      <c r="B10" s="2">
        <v>11.005714016505101</v>
      </c>
      <c r="D10" s="2">
        <v>11.005714016505101</v>
      </c>
      <c r="F10" s="2">
        <v>-3.9998183296053598E-2</v>
      </c>
      <c r="J10" s="3">
        <v>9.1069972957532506E-6</v>
      </c>
      <c r="K10" s="2">
        <f t="shared" si="0"/>
        <v>9.106997295753251</v>
      </c>
      <c r="L10" s="2">
        <f>K10*((1-F10)/F10)</f>
        <v>-236.79227060794864</v>
      </c>
    </row>
    <row r="11" spans="1:12" x14ac:dyDescent="0.55000000000000004">
      <c r="B11" s="2">
        <v>8.7408125549667197</v>
      </c>
      <c r="D11" s="2">
        <v>8.7408125549667197</v>
      </c>
      <c r="F11" s="2">
        <v>-7.7177861339442294E-2</v>
      </c>
      <c r="J11" s="3">
        <v>9.3302161062981503E-6</v>
      </c>
      <c r="K11" s="2">
        <f t="shared" si="0"/>
        <v>9.3302161062981508</v>
      </c>
      <c r="L11" s="2">
        <f>K11*((1-F11)/F11)</f>
        <v>-130.22260602705742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385E3-433F-4140-B6DD-2D9E57E43260}">
  <dimension ref="A1:L11"/>
  <sheetViews>
    <sheetView zoomScale="80" zoomScaleNormal="80" workbookViewId="0">
      <selection activeCell="D34" sqref="D34"/>
    </sheetView>
  </sheetViews>
  <sheetFormatPr defaultRowHeight="14.4" x14ac:dyDescent="0.55000000000000004"/>
  <cols>
    <col min="1" max="1" width="24.05078125" bestFit="1" customWidth="1"/>
    <col min="2" max="2" width="28.83984375" bestFit="1" customWidth="1"/>
    <col min="3" max="3" width="29.3671875" bestFit="1" customWidth="1"/>
    <col min="4" max="4" width="16" bestFit="1" customWidth="1"/>
    <col min="5" max="5" width="11.5234375" bestFit="1" customWidth="1"/>
    <col min="6" max="6" width="12.3125" bestFit="1" customWidth="1"/>
    <col min="7" max="7" width="12.83984375" bestFit="1" customWidth="1"/>
    <col min="8" max="8" width="28.41796875" bestFit="1" customWidth="1"/>
    <col min="9" max="9" width="28.9453125" bestFit="1" customWidth="1"/>
    <col min="10" max="10" width="11.5234375" bestFit="1" customWidth="1"/>
    <col min="11" max="11" width="12.5234375" bestFit="1" customWidth="1"/>
    <col min="12" max="12" width="7.26171875" bestFit="1" customWidth="1"/>
  </cols>
  <sheetData>
    <row r="1" spans="1:12" ht="28.8" x14ac:dyDescent="0.55000000000000004">
      <c r="A1" s="1" t="s">
        <v>5</v>
      </c>
      <c r="B1" t="s">
        <v>1</v>
      </c>
      <c r="C1" t="s">
        <v>17</v>
      </c>
      <c r="D1" t="s">
        <v>0</v>
      </c>
      <c r="E1" t="s">
        <v>14</v>
      </c>
      <c r="F1" t="s">
        <v>3</v>
      </c>
      <c r="G1" t="s">
        <v>15</v>
      </c>
      <c r="H1" t="s">
        <v>11</v>
      </c>
      <c r="I1" t="s">
        <v>16</v>
      </c>
      <c r="J1" t="s">
        <v>8</v>
      </c>
      <c r="K1" t="s">
        <v>9</v>
      </c>
      <c r="L1" t="s">
        <v>10</v>
      </c>
    </row>
    <row r="2" spans="1:12" x14ac:dyDescent="0.55000000000000004">
      <c r="B2" s="2">
        <v>1.37134663533072</v>
      </c>
      <c r="D2" s="2">
        <v>1.37134663533072</v>
      </c>
      <c r="F2" s="2">
        <v>-0.57015852187327898</v>
      </c>
      <c r="J2" s="3">
        <v>1.3130042361228901E-5</v>
      </c>
      <c r="K2" s="2">
        <f>J2*10^6</f>
        <v>13.130042361228901</v>
      </c>
      <c r="L2" s="2">
        <f>K2*((1-F2)/F2)</f>
        <v>-36.158799904112961</v>
      </c>
    </row>
    <row r="3" spans="1:12" x14ac:dyDescent="0.55000000000000004">
      <c r="B3" s="2">
        <v>19.2066283331575</v>
      </c>
      <c r="D3" s="2">
        <v>19.2066283331575</v>
      </c>
      <c r="F3" s="2">
        <v>0.88099598108286703</v>
      </c>
      <c r="J3" s="3">
        <v>1.1850936668640601E-5</v>
      </c>
      <c r="K3" s="2">
        <f t="shared" ref="K3:K11" si="0">J3*10^6</f>
        <v>11.850936668640601</v>
      </c>
      <c r="L3" s="2">
        <f>K3*((1-F3)/F3)</f>
        <v>1.6008121737027496</v>
      </c>
    </row>
    <row r="4" spans="1:12" x14ac:dyDescent="0.55000000000000004">
      <c r="B4" s="2">
        <v>34.700712655092602</v>
      </c>
      <c r="D4" s="2">
        <v>34.700712655092602</v>
      </c>
      <c r="F4" s="2">
        <v>0.70757813224470001</v>
      </c>
      <c r="J4" s="3">
        <v>1.07468964613048E-5</v>
      </c>
      <c r="K4" s="2">
        <f t="shared" si="0"/>
        <v>10.7468964613048</v>
      </c>
      <c r="L4" s="2">
        <f>K4*((1-F4)/F4)</f>
        <v>4.4413858944707556</v>
      </c>
    </row>
    <row r="5" spans="1:12" x14ac:dyDescent="0.55000000000000004">
      <c r="B5" s="2">
        <v>48.007208501664003</v>
      </c>
      <c r="D5" s="2">
        <v>48.007208501664003</v>
      </c>
      <c r="F5" s="2">
        <v>0.55110683188978504</v>
      </c>
      <c r="J5" s="3">
        <v>9.8984898552621299E-6</v>
      </c>
      <c r="K5" s="2">
        <f t="shared" si="0"/>
        <v>9.8984898552621292</v>
      </c>
      <c r="L5" s="2">
        <f>K5*((1-F5)/F5)</f>
        <v>8.0626191030853729</v>
      </c>
    </row>
    <row r="6" spans="1:12" x14ac:dyDescent="0.55000000000000004">
      <c r="B6" s="2">
        <v>59.9997484894756</v>
      </c>
      <c r="D6" s="2">
        <v>59.9997484894756</v>
      </c>
      <c r="F6" s="2">
        <v>0.469747613004253</v>
      </c>
      <c r="J6" s="3">
        <v>9.2982233875942703E-6</v>
      </c>
      <c r="K6" s="2">
        <f t="shared" si="0"/>
        <v>9.2982233875942697</v>
      </c>
      <c r="L6" s="2">
        <f>K6*((1-F6)/F6)</f>
        <v>10.495859924778166</v>
      </c>
    </row>
    <row r="7" spans="1:12" x14ac:dyDescent="0.55000000000000004">
      <c r="B7" s="2">
        <v>70.1175120598852</v>
      </c>
      <c r="D7" s="2">
        <v>70.1175120598852</v>
      </c>
      <c r="F7" s="2">
        <v>0.36407980678815799</v>
      </c>
      <c r="J7" s="3">
        <v>8.8801389367192306E-6</v>
      </c>
      <c r="K7" s="2">
        <f t="shared" si="0"/>
        <v>8.8801389367192307</v>
      </c>
      <c r="L7" s="2">
        <f>K7*((1-F7)/F7)</f>
        <v>15.510499519882107</v>
      </c>
    </row>
    <row r="8" spans="1:12" x14ac:dyDescent="0.55000000000000004">
      <c r="B8" s="2">
        <v>79.441593301356804</v>
      </c>
      <c r="D8" s="2">
        <v>79.441593301356804</v>
      </c>
      <c r="F8" s="2">
        <v>0.30785272806894298</v>
      </c>
      <c r="J8" s="3">
        <v>8.5720802719054E-6</v>
      </c>
      <c r="K8" s="2">
        <f t="shared" si="0"/>
        <v>8.5720802719053992</v>
      </c>
      <c r="L8" s="2">
        <f>K8*((1-F8)/F8)</f>
        <v>19.272663302969466</v>
      </c>
    </row>
    <row r="9" spans="1:12" x14ac:dyDescent="0.55000000000000004">
      <c r="B9" s="2">
        <v>86.919588055842397</v>
      </c>
      <c r="D9" s="2">
        <v>86.919588055842397</v>
      </c>
      <c r="F9" s="2">
        <v>0.23052716634428599</v>
      </c>
      <c r="J9" s="3">
        <v>8.3213847242981994E-6</v>
      </c>
      <c r="K9" s="2">
        <f t="shared" si="0"/>
        <v>8.3213847242982002</v>
      </c>
      <c r="L9" s="2">
        <f>K9*((1-F9)/F9)</f>
        <v>27.775813086524842</v>
      </c>
    </row>
    <row r="10" spans="1:12" x14ac:dyDescent="0.55000000000000004">
      <c r="B10" s="2">
        <v>94.383734729231804</v>
      </c>
      <c r="D10" s="2">
        <v>94.383734729231804</v>
      </c>
      <c r="F10" s="2">
        <v>0.22176177761956001</v>
      </c>
      <c r="J10" s="3">
        <v>8.0919663237153995E-6</v>
      </c>
      <c r="K10" s="2">
        <f t="shared" si="0"/>
        <v>8.0919663237153987</v>
      </c>
      <c r="L10" s="2">
        <f>K10*((1-F10)/F10)</f>
        <v>28.397488308982609</v>
      </c>
    </row>
    <row r="11" spans="1:12" x14ac:dyDescent="0.55000000000000004">
      <c r="B11" s="2">
        <v>99.295550585849696</v>
      </c>
      <c r="D11" s="2">
        <v>99.295550585849696</v>
      </c>
      <c r="F11" s="2">
        <v>0.17581824745497701</v>
      </c>
      <c r="J11" s="3">
        <v>7.9062874399030598E-6</v>
      </c>
      <c r="K11" s="2">
        <f t="shared" si="0"/>
        <v>7.9062874399030596</v>
      </c>
      <c r="L11" s="2">
        <f>K11*((1-F11)/F11)</f>
        <v>37.062238605311201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69B88-0068-40D8-BC14-FC11C6EEDB89}">
  <dimension ref="A1:L11"/>
  <sheetViews>
    <sheetView zoomScale="70" zoomScaleNormal="70" workbookViewId="0">
      <selection activeCell="B19" sqref="B19"/>
    </sheetView>
  </sheetViews>
  <sheetFormatPr defaultRowHeight="14.4" x14ac:dyDescent="0.55000000000000004"/>
  <cols>
    <col min="1" max="1" width="24.05078125" bestFit="1" customWidth="1"/>
    <col min="2" max="2" width="28.83984375" bestFit="1" customWidth="1"/>
    <col min="3" max="3" width="29.83984375" bestFit="1" customWidth="1"/>
    <col min="4" max="4" width="16" bestFit="1" customWidth="1"/>
    <col min="5" max="5" width="11.83984375" bestFit="1" customWidth="1"/>
    <col min="6" max="6" width="12.3125" bestFit="1" customWidth="1"/>
    <col min="7" max="7" width="13.05078125" bestFit="1" customWidth="1"/>
    <col min="8" max="8" width="28.83984375" bestFit="1" customWidth="1"/>
    <col min="9" max="9" width="29.3671875" bestFit="1" customWidth="1"/>
    <col min="10" max="10" width="13.20703125" bestFit="1" customWidth="1"/>
    <col min="12" max="12" width="7.41796875" bestFit="1" customWidth="1"/>
  </cols>
  <sheetData>
    <row r="1" spans="1:12" ht="28.8" x14ac:dyDescent="0.55000000000000004">
      <c r="A1" s="1" t="s">
        <v>5</v>
      </c>
      <c r="B1" t="s">
        <v>1</v>
      </c>
      <c r="C1" t="s">
        <v>17</v>
      </c>
      <c r="D1" t="s">
        <v>0</v>
      </c>
      <c r="E1" t="s">
        <v>14</v>
      </c>
      <c r="F1" t="s">
        <v>3</v>
      </c>
      <c r="G1" t="s">
        <v>15</v>
      </c>
      <c r="H1" t="s">
        <v>11</v>
      </c>
      <c r="I1" t="s">
        <v>16</v>
      </c>
      <c r="J1" t="s">
        <v>8</v>
      </c>
      <c r="K1" t="s">
        <v>9</v>
      </c>
      <c r="L1" t="s">
        <v>10</v>
      </c>
    </row>
    <row r="2" spans="1:12" x14ac:dyDescent="0.55000000000000004">
      <c r="B2" s="2">
        <v>21.6467933303629</v>
      </c>
      <c r="C2" s="2"/>
      <c r="D2" s="2">
        <v>21.6467933303629</v>
      </c>
      <c r="E2" s="2"/>
      <c r="F2" s="2">
        <v>0.91444782528021995</v>
      </c>
      <c r="G2" s="2"/>
      <c r="H2" s="4">
        <v>1.85193024512219</v>
      </c>
      <c r="I2" s="4"/>
      <c r="J2" s="3">
        <v>9.8761135055385592E-6</v>
      </c>
      <c r="K2" s="2">
        <f>J2*10^6</f>
        <v>9.8761135055385587</v>
      </c>
      <c r="L2" s="2">
        <f>K2*((1-F2)/F2)</f>
        <v>0.92397069009300681</v>
      </c>
    </row>
    <row r="3" spans="1:12" x14ac:dyDescent="0.55000000000000004">
      <c r="B3" s="2">
        <v>35.694183892079501</v>
      </c>
      <c r="C3" s="2"/>
      <c r="D3" s="2">
        <v>35.694183892079501</v>
      </c>
      <c r="E3" s="2"/>
      <c r="F3" s="2">
        <v>0.79851900412480603</v>
      </c>
      <c r="G3" s="2"/>
      <c r="H3" s="4">
        <v>7.19169971752848</v>
      </c>
      <c r="I3" s="4"/>
      <c r="J3" s="3">
        <v>9.2144945923381698E-6</v>
      </c>
      <c r="K3" s="2">
        <f t="shared" ref="K3:K11" si="0">J3*10^6</f>
        <v>9.2144945923381698</v>
      </c>
      <c r="L3" s="2">
        <f>K3*((1-F3)/F3)</f>
        <v>2.3249860521299648</v>
      </c>
    </row>
    <row r="4" spans="1:12" x14ac:dyDescent="0.55000000000000004">
      <c r="B4" s="2">
        <v>48.246720520988802</v>
      </c>
      <c r="C4" s="2"/>
      <c r="D4" s="2">
        <v>48.246720520988802</v>
      </c>
      <c r="E4" s="2"/>
      <c r="F4" s="2">
        <v>0.67266271648816001</v>
      </c>
      <c r="G4" s="2"/>
      <c r="H4" s="4">
        <v>15.792950433695401</v>
      </c>
      <c r="I4" s="4"/>
      <c r="J4" s="3">
        <v>8.58269277927621E-6</v>
      </c>
      <c r="K4" s="2">
        <f t="shared" si="0"/>
        <v>8.5826927792762095</v>
      </c>
      <c r="L4" s="2">
        <f>K4*((1-F4)/F4)</f>
        <v>4.176588460636661</v>
      </c>
    </row>
    <row r="5" spans="1:12" x14ac:dyDescent="0.55000000000000004">
      <c r="B5" s="2">
        <v>59.533858948928703</v>
      </c>
      <c r="C5" s="2"/>
      <c r="D5" s="2">
        <v>59.533858948928703</v>
      </c>
      <c r="E5" s="2"/>
      <c r="F5" s="2">
        <v>0.58468105858157804</v>
      </c>
      <c r="G5" s="2"/>
      <c r="H5" s="4">
        <v>24.725539277222701</v>
      </c>
      <c r="I5" s="4"/>
      <c r="J5" s="3">
        <v>8.0477001653311201E-6</v>
      </c>
      <c r="K5" s="2">
        <f t="shared" si="0"/>
        <v>8.0477001653311202</v>
      </c>
      <c r="L5" s="2">
        <f>K5*((1-F5)/F5)</f>
        <v>5.7165565130956519</v>
      </c>
    </row>
    <row r="6" spans="1:12" x14ac:dyDescent="0.55000000000000004">
      <c r="B6" s="2">
        <v>69.999926210752605</v>
      </c>
      <c r="C6" s="2"/>
      <c r="D6" s="2">
        <v>69.999926210752605</v>
      </c>
      <c r="E6" s="2"/>
      <c r="F6" s="2">
        <v>0.52060614107755099</v>
      </c>
      <c r="G6" s="2"/>
      <c r="H6" s="4">
        <v>33.557534750459403</v>
      </c>
      <c r="I6" s="4"/>
      <c r="J6" s="3">
        <v>7.60224636236252E-6</v>
      </c>
      <c r="K6" s="2">
        <f t="shared" si="0"/>
        <v>7.6022463623625196</v>
      </c>
      <c r="L6" s="2">
        <f>K6*((1-F6)/F6)</f>
        <v>7.0004364769666214</v>
      </c>
    </row>
    <row r="7" spans="1:12" x14ac:dyDescent="0.55000000000000004">
      <c r="B7" s="2">
        <v>79.505548973445102</v>
      </c>
      <c r="C7" s="2"/>
      <c r="D7" s="2">
        <v>79.505548973445102</v>
      </c>
      <c r="E7" s="2"/>
      <c r="F7" s="2">
        <v>0.47191866771983498</v>
      </c>
      <c r="G7" s="2"/>
      <c r="H7" s="4">
        <v>41.985396225562901</v>
      </c>
      <c r="I7" s="4"/>
      <c r="J7" s="3">
        <v>7.2305694387037702E-6</v>
      </c>
      <c r="K7" s="2">
        <f t="shared" si="0"/>
        <v>7.2305694387037702</v>
      </c>
      <c r="L7" s="2">
        <f>K7*((1-F7)/F7)</f>
        <v>8.0910737453636123</v>
      </c>
    </row>
    <row r="8" spans="1:12" x14ac:dyDescent="0.55000000000000004">
      <c r="B8" s="2">
        <v>88.307318112907794</v>
      </c>
      <c r="C8" s="2"/>
      <c r="D8" s="2">
        <v>88.307318112907794</v>
      </c>
      <c r="E8" s="2"/>
      <c r="F8" s="2">
        <v>0.42935149041293302</v>
      </c>
      <c r="G8" s="2"/>
      <c r="H8" s="4">
        <v>50.3924394667618</v>
      </c>
      <c r="I8" s="4"/>
      <c r="J8" s="3">
        <v>6.9261695111520203E-6</v>
      </c>
      <c r="K8" s="2">
        <f t="shared" si="0"/>
        <v>6.9261695111520201</v>
      </c>
      <c r="L8" s="2">
        <f>K8*((1-F8)/F8)</f>
        <v>9.2055306594720729</v>
      </c>
    </row>
    <row r="9" spans="1:12" x14ac:dyDescent="0.55000000000000004">
      <c r="B9" s="2">
        <v>96.3233652844537</v>
      </c>
      <c r="C9" s="2"/>
      <c r="D9" s="2">
        <v>96.3233652844537</v>
      </c>
      <c r="E9" s="2"/>
      <c r="F9" s="2">
        <v>0.39143154093961802</v>
      </c>
      <c r="G9" s="2"/>
      <c r="H9" s="4">
        <v>58.619361982670299</v>
      </c>
      <c r="I9" s="4"/>
      <c r="J9" s="3">
        <v>6.6808905894585298E-6</v>
      </c>
      <c r="K9" s="2">
        <f t="shared" si="0"/>
        <v>6.6808905894585298</v>
      </c>
      <c r="L9" s="2">
        <f>K9*((1-F9)/F9)</f>
        <v>10.386948587275365</v>
      </c>
    </row>
    <row r="10" spans="1:12" x14ac:dyDescent="0.55000000000000004">
      <c r="B10" s="2">
        <v>103.789422080232</v>
      </c>
      <c r="C10" s="2"/>
      <c r="D10" s="2">
        <v>103.789422080232</v>
      </c>
      <c r="E10" s="2"/>
      <c r="F10" s="2">
        <v>0.380820020382382</v>
      </c>
      <c r="G10" s="2"/>
      <c r="H10" s="4">
        <v>64.264332248162603</v>
      </c>
      <c r="I10" s="4"/>
      <c r="J10" s="3">
        <v>6.4738195146341998E-6</v>
      </c>
      <c r="K10" s="2">
        <f t="shared" si="0"/>
        <v>6.4738195146341999</v>
      </c>
      <c r="L10" s="2">
        <f>K10*((1-F10)/F10)</f>
        <v>10.525863191474128</v>
      </c>
    </row>
    <row r="11" spans="1:12" x14ac:dyDescent="0.55000000000000004">
      <c r="B11" s="2">
        <v>109.37454070959301</v>
      </c>
      <c r="C11" s="2"/>
      <c r="D11" s="2">
        <v>109.37454070959301</v>
      </c>
      <c r="E11" s="2"/>
      <c r="F11" s="2">
        <v>0.34043889559456803</v>
      </c>
      <c r="G11" s="2"/>
      <c r="H11" s="4">
        <v>72.139192864255705</v>
      </c>
      <c r="I11" s="4"/>
      <c r="J11" s="3">
        <v>6.2672889697683802E-6</v>
      </c>
      <c r="K11" s="2">
        <f t="shared" si="0"/>
        <v>6.26728896976838</v>
      </c>
      <c r="L11" s="2">
        <f>K11*((1-F11)/F11)</f>
        <v>12.142149701517155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07165-16FF-46FE-B56E-734F16FF81D2}">
  <dimension ref="A1:L11"/>
  <sheetViews>
    <sheetView zoomScale="80" zoomScaleNormal="80" workbookViewId="0"/>
  </sheetViews>
  <sheetFormatPr defaultRowHeight="14.4" x14ac:dyDescent="0.55000000000000004"/>
  <cols>
    <col min="1" max="1" width="24.05078125" bestFit="1" customWidth="1"/>
    <col min="2" max="2" width="28.83984375" bestFit="1" customWidth="1"/>
    <col min="3" max="3" width="29.3671875" bestFit="1" customWidth="1"/>
    <col min="4" max="4" width="16" bestFit="1" customWidth="1"/>
    <col min="5" max="5" width="11.5234375" bestFit="1" customWidth="1"/>
    <col min="6" max="6" width="12.3125" bestFit="1" customWidth="1"/>
    <col min="7" max="7" width="12.83984375" bestFit="1" customWidth="1"/>
    <col min="8" max="8" width="28.41796875" bestFit="1" customWidth="1"/>
    <col min="9" max="9" width="28.9453125" bestFit="1" customWidth="1"/>
    <col min="10" max="10" width="11.5234375" bestFit="1" customWidth="1"/>
    <col min="11" max="11" width="12.5234375" bestFit="1" customWidth="1"/>
    <col min="12" max="12" width="7.26171875" bestFit="1" customWidth="1"/>
  </cols>
  <sheetData>
    <row r="1" spans="1:12" ht="28.8" x14ac:dyDescent="0.55000000000000004">
      <c r="A1" s="1" t="s">
        <v>5</v>
      </c>
      <c r="B1" t="s">
        <v>1</v>
      </c>
      <c r="C1" t="s">
        <v>17</v>
      </c>
      <c r="D1" t="s">
        <v>0</v>
      </c>
      <c r="E1" t="s">
        <v>14</v>
      </c>
      <c r="F1" t="s">
        <v>3</v>
      </c>
      <c r="G1" t="s">
        <v>15</v>
      </c>
      <c r="H1" t="s">
        <v>11</v>
      </c>
      <c r="I1" t="s">
        <v>16</v>
      </c>
      <c r="J1" t="s">
        <v>8</v>
      </c>
      <c r="K1" t="s">
        <v>9</v>
      </c>
      <c r="L1" t="s">
        <v>10</v>
      </c>
    </row>
    <row r="2" spans="1:12" x14ac:dyDescent="0.55000000000000004">
      <c r="B2" s="2">
        <v>22.0042898517531</v>
      </c>
      <c r="D2" s="2">
        <v>22.0042898517531</v>
      </c>
      <c r="F2" s="2">
        <v>0.91937105022624199</v>
      </c>
      <c r="J2" s="3">
        <v>1.0214680779668701E-5</v>
      </c>
      <c r="K2" s="2">
        <f>J2*10^6</f>
        <v>10.214680779668701</v>
      </c>
      <c r="L2" s="2">
        <f>K2*((1-F2)/F2)</f>
        <v>0.89582871174397427</v>
      </c>
    </row>
    <row r="3" spans="1:12" x14ac:dyDescent="0.55000000000000004">
      <c r="B3" s="2">
        <v>37.080002254955097</v>
      </c>
      <c r="D3" s="2">
        <v>37.080002254955097</v>
      </c>
      <c r="F3" s="2">
        <v>0.84907949969891905</v>
      </c>
      <c r="J3" s="3">
        <v>9.2720120396229407E-6</v>
      </c>
      <c r="K3" s="2">
        <f t="shared" ref="K3:K11" si="0">J3*10^6</f>
        <v>9.2720120396229415</v>
      </c>
      <c r="L3" s="2">
        <f>K3*((1-F3)/F3)</f>
        <v>1.6480632217757476</v>
      </c>
    </row>
    <row r="4" spans="1:12" x14ac:dyDescent="0.55000000000000004">
      <c r="B4" s="2">
        <v>50.828731270308801</v>
      </c>
      <c r="D4" s="2">
        <v>50.828731270308801</v>
      </c>
      <c r="F4" s="2">
        <v>0.72088377807757997</v>
      </c>
      <c r="J4" s="3">
        <v>8.4559697905888894E-6</v>
      </c>
      <c r="K4" s="2">
        <f t="shared" si="0"/>
        <v>8.45596979058889</v>
      </c>
      <c r="L4" s="2">
        <f>K4*((1-F4)/F4)</f>
        <v>3.2740344732591398</v>
      </c>
    </row>
    <row r="5" spans="1:12" x14ac:dyDescent="0.55000000000000004">
      <c r="B5" s="2">
        <v>62.908317008399003</v>
      </c>
      <c r="D5" s="2">
        <v>62.908317008399003</v>
      </c>
      <c r="F5" s="2">
        <v>0.62642276023388499</v>
      </c>
      <c r="J5" s="3">
        <v>7.8529841474129593E-6</v>
      </c>
      <c r="K5" s="2">
        <f t="shared" si="0"/>
        <v>7.8529841474129594</v>
      </c>
      <c r="L5" s="2">
        <f>K5*((1-F5)/F5)</f>
        <v>4.6832527934046473</v>
      </c>
    </row>
    <row r="6" spans="1:12" x14ac:dyDescent="0.55000000000000004">
      <c r="B6" s="2">
        <v>73.731758716706096</v>
      </c>
      <c r="D6" s="2">
        <v>73.731758716706096</v>
      </c>
      <c r="F6" s="2">
        <v>0.55329159563531805</v>
      </c>
      <c r="J6" s="3">
        <v>7.4816451168005701E-6</v>
      </c>
      <c r="K6" s="2">
        <f t="shared" si="0"/>
        <v>7.4816451168005704</v>
      </c>
      <c r="L6" s="2">
        <f>K6*((1-F6)/F6)</f>
        <v>6.0404202386468739</v>
      </c>
    </row>
    <row r="7" spans="1:12" x14ac:dyDescent="0.55000000000000004">
      <c r="B7" s="2">
        <v>83.903444113139898</v>
      </c>
      <c r="D7" s="2">
        <v>83.903444113139898</v>
      </c>
      <c r="F7" s="2">
        <v>0.50306064278023899</v>
      </c>
      <c r="J7" s="3">
        <v>7.2569851883242503E-6</v>
      </c>
      <c r="K7" s="2">
        <f t="shared" si="0"/>
        <v>7.2569851883242507</v>
      </c>
      <c r="L7" s="2">
        <f>K7*((1-F7)/F7)</f>
        <v>7.1686815627406899</v>
      </c>
    </row>
    <row r="8" spans="1:12" x14ac:dyDescent="0.55000000000000004">
      <c r="B8" s="2">
        <v>93.166407809587199</v>
      </c>
      <c r="D8" s="2">
        <v>93.166407809587199</v>
      </c>
      <c r="F8" s="2">
        <v>0.46816277773524301</v>
      </c>
      <c r="J8" s="3">
        <v>7.0656971716774103E-6</v>
      </c>
      <c r="K8" s="2">
        <f t="shared" si="0"/>
        <v>7.0656971716774102</v>
      </c>
      <c r="L8" s="2">
        <f>K8*((1-F8)/F8)</f>
        <v>8.0266969863075861</v>
      </c>
    </row>
    <row r="9" spans="1:12" x14ac:dyDescent="0.55000000000000004">
      <c r="B9" s="2">
        <v>101.596176476011</v>
      </c>
      <c r="D9" s="2">
        <v>101.596176476011</v>
      </c>
      <c r="F9" s="2">
        <v>0.42944773828481903</v>
      </c>
      <c r="J9" s="3">
        <v>6.8272940150174699E-6</v>
      </c>
      <c r="K9" s="2">
        <f t="shared" si="0"/>
        <v>6.8272940150174701</v>
      </c>
      <c r="L9" s="2">
        <f>K9*((1-F9)/F9)</f>
        <v>9.0705520006238132</v>
      </c>
    </row>
    <row r="10" spans="1:12" x14ac:dyDescent="0.55000000000000004">
      <c r="B10" s="2">
        <v>109.38227848098499</v>
      </c>
      <c r="D10" s="2">
        <v>109.38227848098499</v>
      </c>
      <c r="F10" s="2">
        <v>0.41186288356349499</v>
      </c>
      <c r="J10" s="3">
        <v>6.4848590297155598E-6</v>
      </c>
      <c r="K10" s="2">
        <f t="shared" si="0"/>
        <v>6.4848590297155599</v>
      </c>
      <c r="L10" s="2">
        <f>K10*((1-F10)/F10)</f>
        <v>9.2603301789056616</v>
      </c>
    </row>
    <row r="11" spans="1:12" x14ac:dyDescent="0.55000000000000004">
      <c r="B11" s="2">
        <v>115.438531361272</v>
      </c>
      <c r="D11" s="2">
        <v>115.438531361272</v>
      </c>
      <c r="F11" s="2">
        <v>0.37989116550621799</v>
      </c>
      <c r="J11" s="3">
        <v>6.1252581294074403E-6</v>
      </c>
      <c r="K11" s="2">
        <f t="shared" si="0"/>
        <v>6.12525812940744</v>
      </c>
      <c r="L11" s="2">
        <f>K11*((1-F11)/F11)</f>
        <v>9.9984601498668972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D630F-EAB3-484A-8922-9CD770340CCD}">
  <dimension ref="A1:L11"/>
  <sheetViews>
    <sheetView zoomScale="80" zoomScaleNormal="80" workbookViewId="0"/>
  </sheetViews>
  <sheetFormatPr defaultRowHeight="14.4" x14ac:dyDescent="0.55000000000000004"/>
  <cols>
    <col min="1" max="1" width="24.05078125" bestFit="1" customWidth="1"/>
    <col min="2" max="2" width="28.83984375" bestFit="1" customWidth="1"/>
    <col min="3" max="3" width="29.3671875" bestFit="1" customWidth="1"/>
    <col min="4" max="4" width="16" bestFit="1" customWidth="1"/>
    <col min="5" max="5" width="11.5234375" bestFit="1" customWidth="1"/>
    <col min="6" max="6" width="12.3125" bestFit="1" customWidth="1"/>
    <col min="7" max="7" width="12.83984375" bestFit="1" customWidth="1"/>
    <col min="8" max="8" width="28.62890625" customWidth="1"/>
    <col min="9" max="9" width="28.9453125" bestFit="1" customWidth="1"/>
    <col min="10" max="10" width="11.5234375" bestFit="1" customWidth="1"/>
    <col min="11" max="11" width="12.5234375" bestFit="1" customWidth="1"/>
    <col min="12" max="12" width="7.26171875" bestFit="1" customWidth="1"/>
  </cols>
  <sheetData>
    <row r="1" spans="1:12" ht="28.8" x14ac:dyDescent="0.55000000000000004">
      <c r="A1" s="1" t="s">
        <v>5</v>
      </c>
      <c r="B1" t="s">
        <v>1</v>
      </c>
      <c r="C1" t="s">
        <v>17</v>
      </c>
      <c r="D1" t="s">
        <v>0</v>
      </c>
      <c r="E1" t="s">
        <v>14</v>
      </c>
      <c r="F1" t="s">
        <v>3</v>
      </c>
      <c r="G1" t="s">
        <v>15</v>
      </c>
      <c r="H1" t="s">
        <v>11</v>
      </c>
      <c r="I1" t="s">
        <v>16</v>
      </c>
      <c r="J1" t="s">
        <v>8</v>
      </c>
      <c r="K1" t="s">
        <v>9</v>
      </c>
      <c r="L1" t="s">
        <v>10</v>
      </c>
    </row>
    <row r="2" spans="1:12" x14ac:dyDescent="0.55000000000000004">
      <c r="B2" s="2">
        <v>76.111876145876593</v>
      </c>
      <c r="D2" s="2">
        <v>76.111876145876593</v>
      </c>
      <c r="F2" s="2">
        <v>0.23336239900623501</v>
      </c>
      <c r="J2" s="3">
        <v>8.1460895745192493E-6</v>
      </c>
      <c r="K2" s="2">
        <f>J2*10^6</f>
        <v>8.1460895745192499</v>
      </c>
      <c r="L2" s="2">
        <f>K2*((1-F2)/F2)</f>
        <v>26.761374563701239</v>
      </c>
    </row>
    <row r="3" spans="1:12" x14ac:dyDescent="0.55000000000000004">
      <c r="B3" s="2">
        <v>61.616186195202999</v>
      </c>
      <c r="D3" s="2">
        <v>61.616186195202999</v>
      </c>
      <c r="F3" s="2">
        <v>0.19150366204660099</v>
      </c>
      <c r="J3" s="3">
        <v>7.8717575715784397E-6</v>
      </c>
      <c r="K3" s="2">
        <f t="shared" ref="K3:K11" si="0">J3*10^6</f>
        <v>7.8717575715784394</v>
      </c>
      <c r="L3" s="2">
        <f>K3*((1-F3)/F3)</f>
        <v>33.233240042842674</v>
      </c>
    </row>
    <row r="4" spans="1:12" x14ac:dyDescent="0.55000000000000004">
      <c r="B4" s="2">
        <v>51.231649222507997</v>
      </c>
      <c r="D4" s="2">
        <v>51.231649222507997</v>
      </c>
      <c r="F4" s="2">
        <v>0.24754838748915201</v>
      </c>
      <c r="J4" s="3">
        <v>7.7380140594165299E-6</v>
      </c>
      <c r="K4" s="2">
        <f t="shared" si="0"/>
        <v>7.7380140594165301</v>
      </c>
      <c r="L4" s="2">
        <f>K4*((1-F4)/F4)</f>
        <v>23.520577999704127</v>
      </c>
    </row>
    <row r="5" spans="1:12" x14ac:dyDescent="0.55000000000000004">
      <c r="B5" s="2">
        <v>43.9067779951774</v>
      </c>
      <c r="D5" s="2">
        <v>43.9067779951774</v>
      </c>
      <c r="F5" s="2">
        <v>0.34614936779455002</v>
      </c>
      <c r="J5" s="3">
        <v>7.7781294340403297E-6</v>
      </c>
      <c r="K5" s="2">
        <f t="shared" si="0"/>
        <v>7.7781294340403297</v>
      </c>
      <c r="L5" s="2">
        <f>K5*((1-F5)/F5)</f>
        <v>14.69231297525184</v>
      </c>
    </row>
    <row r="6" spans="1:12" x14ac:dyDescent="0.55000000000000004">
      <c r="B6" s="2">
        <v>38.126509939869898</v>
      </c>
      <c r="D6" s="2">
        <v>38.126509939869898</v>
      </c>
      <c r="F6" s="2">
        <v>0.40786999204129998</v>
      </c>
      <c r="J6" s="3">
        <v>7.9443245879657605E-6</v>
      </c>
      <c r="K6" s="2">
        <f t="shared" si="0"/>
        <v>7.9443245879657605</v>
      </c>
      <c r="L6" s="2">
        <f>K6*((1-F6)/F6)</f>
        <v>11.533265680948496</v>
      </c>
    </row>
    <row r="7" spans="1:12" x14ac:dyDescent="0.55000000000000004">
      <c r="B7" s="2">
        <v>33.597319003477203</v>
      </c>
      <c r="D7" s="2">
        <v>33.597319003477203</v>
      </c>
      <c r="F7" s="2">
        <v>0.45773120498595199</v>
      </c>
      <c r="J7" s="3">
        <v>8.1573322342357806E-6</v>
      </c>
      <c r="K7" s="2">
        <f t="shared" si="0"/>
        <v>8.1573322342357812</v>
      </c>
      <c r="L7" s="2">
        <f>K7*((1-F7)/F7)</f>
        <v>9.6638959131572584</v>
      </c>
    </row>
    <row r="8" spans="1:12" x14ac:dyDescent="0.55000000000000004">
      <c r="B8" s="2">
        <v>30.020191186027802</v>
      </c>
      <c r="D8" s="2">
        <v>30.020191186027802</v>
      </c>
      <c r="F8" s="2">
        <v>0.50435045640744702</v>
      </c>
      <c r="J8" s="3">
        <v>8.3520955080194405E-6</v>
      </c>
      <c r="K8" s="2">
        <f t="shared" si="0"/>
        <v>8.3520955080194401</v>
      </c>
      <c r="L8" s="2">
        <f>K8*((1-F8)/F8)</f>
        <v>8.2080074955794604</v>
      </c>
    </row>
    <row r="9" spans="1:12" x14ac:dyDescent="0.55000000000000004">
      <c r="B9" s="2">
        <v>26.992520646073999</v>
      </c>
      <c r="D9" s="2">
        <v>26.992520646073999</v>
      </c>
      <c r="F9" s="2">
        <v>0.52694811669531005</v>
      </c>
      <c r="J9" s="3">
        <v>8.5132096281713106E-6</v>
      </c>
      <c r="K9" s="2">
        <f t="shared" si="0"/>
        <v>8.5132096281713103</v>
      </c>
      <c r="L9" s="2">
        <f>K9*((1-F9)/F9)</f>
        <v>7.6424788702729991</v>
      </c>
    </row>
    <row r="10" spans="1:12" x14ac:dyDescent="0.55000000000000004">
      <c r="B10" s="2">
        <v>24.5971429121042</v>
      </c>
      <c r="D10" s="2">
        <v>24.5971429121042</v>
      </c>
      <c r="F10" s="2">
        <v>0.56101511414565297</v>
      </c>
      <c r="J10" s="3">
        <v>8.6796699227178698E-6</v>
      </c>
      <c r="K10" s="2">
        <f t="shared" si="0"/>
        <v>8.6796699227178706</v>
      </c>
      <c r="L10" s="2">
        <f>K10*((1-F10)/F10)</f>
        <v>6.7916956499116399</v>
      </c>
    </row>
    <row r="11" spans="1:12" x14ac:dyDescent="0.55000000000000004">
      <c r="B11" s="2">
        <v>22.710888895292701</v>
      </c>
      <c r="D11" s="2">
        <v>22.710888895292701</v>
      </c>
      <c r="F11" s="2">
        <v>0.59381447505048401</v>
      </c>
      <c r="J11" s="3">
        <v>8.9655253761870601E-6</v>
      </c>
      <c r="K11" s="2">
        <f t="shared" si="0"/>
        <v>8.9655253761870597</v>
      </c>
      <c r="L11" s="2">
        <f>K11*((1-F11)/F11)</f>
        <v>6.1326673302552051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3A73-15C0-4F94-B63C-25D07C76BE8C}">
  <dimension ref="A1:L11"/>
  <sheetViews>
    <sheetView zoomScale="80" zoomScaleNormal="80" workbookViewId="0">
      <selection activeCell="B1" sqref="B1"/>
    </sheetView>
  </sheetViews>
  <sheetFormatPr defaultRowHeight="14.4" x14ac:dyDescent="0.55000000000000004"/>
  <cols>
    <col min="1" max="1" width="24.05078125" bestFit="1" customWidth="1"/>
    <col min="2" max="2" width="29.83984375" bestFit="1" customWidth="1"/>
    <col min="3" max="3" width="29.3671875" bestFit="1" customWidth="1"/>
    <col min="4" max="4" width="16" bestFit="1" customWidth="1"/>
    <col min="5" max="5" width="11.47265625" bestFit="1" customWidth="1"/>
    <col min="6" max="6" width="13.3125" bestFit="1" customWidth="1"/>
    <col min="7" max="7" width="12.83984375" bestFit="1" customWidth="1"/>
    <col min="8" max="8" width="29.41796875" bestFit="1" customWidth="1"/>
    <col min="9" max="9" width="28.9453125" bestFit="1" customWidth="1"/>
    <col min="10" max="10" width="11.5234375" bestFit="1" customWidth="1"/>
    <col min="11" max="11" width="12.5234375" bestFit="1" customWidth="1"/>
    <col min="12" max="12" width="7.26171875" bestFit="1" customWidth="1"/>
  </cols>
  <sheetData>
    <row r="1" spans="1:12" ht="28.8" x14ac:dyDescent="0.55000000000000004">
      <c r="A1" s="1" t="s">
        <v>5</v>
      </c>
      <c r="B1" t="s">
        <v>2</v>
      </c>
      <c r="C1" t="s">
        <v>17</v>
      </c>
      <c r="D1" t="s">
        <v>0</v>
      </c>
      <c r="E1" t="s">
        <v>19</v>
      </c>
      <c r="F1" t="s">
        <v>4</v>
      </c>
      <c r="G1" t="s">
        <v>15</v>
      </c>
      <c r="H1" t="s">
        <v>13</v>
      </c>
      <c r="I1" t="s">
        <v>16</v>
      </c>
      <c r="J1" t="s">
        <v>8</v>
      </c>
      <c r="K1" t="s">
        <v>9</v>
      </c>
      <c r="L1" t="s">
        <v>10</v>
      </c>
    </row>
    <row r="2" spans="1:12" x14ac:dyDescent="0.55000000000000004">
      <c r="B2" s="2">
        <v>8.9699293110833196</v>
      </c>
      <c r="D2" s="2">
        <v>22.424823277708299</v>
      </c>
      <c r="F2" s="2">
        <v>0.99082459012340396</v>
      </c>
      <c r="J2" s="3">
        <v>8.5136627472982708E-6</v>
      </c>
      <c r="K2" s="2">
        <f>J2*10^6</f>
        <v>8.5136627472982713</v>
      </c>
      <c r="L2" s="2">
        <f>K2*((1-F2)/F2)</f>
        <v>7.8839732114277875E-2</v>
      </c>
    </row>
    <row r="3" spans="1:12" x14ac:dyDescent="0.55000000000000004">
      <c r="B3" s="2">
        <v>14.235368427727099</v>
      </c>
      <c r="D3" s="2">
        <v>35.588421069317697</v>
      </c>
      <c r="F3" s="2">
        <v>0.84602488312908797</v>
      </c>
      <c r="J3" s="3">
        <v>7.9562843086700206E-6</v>
      </c>
      <c r="K3" s="2">
        <f t="shared" ref="K3:K11" si="0">J3*10^6</f>
        <v>7.9562843086700203</v>
      </c>
      <c r="L3" s="2">
        <f>K3*((1-F3)/F3)</f>
        <v>1.4480304666154207</v>
      </c>
    </row>
    <row r="4" spans="1:12" x14ac:dyDescent="0.55000000000000004">
      <c r="B4" s="2">
        <v>19.1141091637142</v>
      </c>
      <c r="D4" s="2">
        <v>47.785272909285403</v>
      </c>
      <c r="F4" s="2">
        <v>0.74090788349982695</v>
      </c>
      <c r="J4" s="3">
        <v>7.4566535019732399E-6</v>
      </c>
      <c r="K4" s="2">
        <f t="shared" si="0"/>
        <v>7.4566535019732401</v>
      </c>
      <c r="L4" s="2">
        <f>K4*((1-F4)/F4)</f>
        <v>2.6075578096276595</v>
      </c>
    </row>
    <row r="5" spans="1:12" x14ac:dyDescent="0.55000000000000004">
      <c r="B5" s="2">
        <v>23.640311216975402</v>
      </c>
      <c r="D5" s="2">
        <v>59.100778042438399</v>
      </c>
      <c r="F5" s="2">
        <v>0.65440994738278502</v>
      </c>
      <c r="J5" s="3">
        <v>7.0418375374254597E-6</v>
      </c>
      <c r="K5" s="2">
        <f t="shared" si="0"/>
        <v>7.0418375374254598</v>
      </c>
      <c r="L5" s="2">
        <f>K5*((1-F5)/F5)</f>
        <v>3.7187530764370571</v>
      </c>
    </row>
    <row r="6" spans="1:12" x14ac:dyDescent="0.55000000000000004">
      <c r="B6" s="2">
        <v>27.844465018137601</v>
      </c>
      <c r="D6" s="2">
        <v>69.611162545344001</v>
      </c>
      <c r="F6" s="2">
        <v>0.60998529716776295</v>
      </c>
      <c r="J6" s="3">
        <v>6.6935722133354196E-6</v>
      </c>
      <c r="K6" s="2">
        <f t="shared" si="0"/>
        <v>6.6935722133354192</v>
      </c>
      <c r="L6" s="2">
        <f>K6*((1-F6)/F6)</f>
        <v>4.2797614791560248</v>
      </c>
    </row>
    <row r="7" spans="1:12" x14ac:dyDescent="0.55000000000000004">
      <c r="B7" s="2">
        <v>31.5988781383221</v>
      </c>
      <c r="D7" s="2">
        <v>78.997195345805096</v>
      </c>
      <c r="F7" s="2">
        <v>0.54882761053566598</v>
      </c>
      <c r="J7" s="3">
        <v>6.4014094390222298E-6</v>
      </c>
      <c r="K7" s="2">
        <f t="shared" si="0"/>
        <v>6.4014094390222303</v>
      </c>
      <c r="L7" s="2">
        <f>K7*((1-F7)/F7)</f>
        <v>5.2623795470572698</v>
      </c>
    </row>
    <row r="8" spans="1:12" x14ac:dyDescent="0.55000000000000004">
      <c r="B8" s="2">
        <v>35.2900446309568</v>
      </c>
      <c r="D8" s="2">
        <v>88.225111577392099</v>
      </c>
      <c r="F8" s="2">
        <v>0.53179911933676105</v>
      </c>
      <c r="J8" s="3">
        <v>6.1331280953895197E-6</v>
      </c>
      <c r="K8" s="2">
        <f t="shared" si="0"/>
        <v>6.1331280953895195</v>
      </c>
      <c r="L8" s="2">
        <f>K8*((1-F8)/F8)</f>
        <v>5.3996629010275408</v>
      </c>
    </row>
    <row r="9" spans="1:12" x14ac:dyDescent="0.55000000000000004">
      <c r="B9" s="2">
        <v>38.667241756087201</v>
      </c>
      <c r="D9" s="2">
        <v>96.668104390218005</v>
      </c>
      <c r="F9" s="2">
        <v>0.50661127496611702</v>
      </c>
      <c r="J9" s="3">
        <v>5.88375359345094E-6</v>
      </c>
      <c r="K9" s="2">
        <f t="shared" si="0"/>
        <v>5.8837535934509404</v>
      </c>
      <c r="L9" s="2">
        <f>K9*((1-F9)/F9)</f>
        <v>5.7301876751172642</v>
      </c>
    </row>
    <row r="10" spans="1:12" x14ac:dyDescent="0.55000000000000004">
      <c r="B10" s="2">
        <v>41.748595233535397</v>
      </c>
      <c r="D10" s="2">
        <v>104.371488083838</v>
      </c>
      <c r="F10" s="2">
        <v>0.48325167499472999</v>
      </c>
      <c r="J10" s="3">
        <v>5.6684936193644798E-6</v>
      </c>
      <c r="K10" s="2">
        <f t="shared" si="0"/>
        <v>5.6684936193644795</v>
      </c>
      <c r="L10" s="2">
        <f>K10*((1-F10)/F10)</f>
        <v>6.0614059602413155</v>
      </c>
    </row>
    <row r="11" spans="1:12" x14ac:dyDescent="0.55000000000000004">
      <c r="B11" s="2">
        <v>44.576756367714701</v>
      </c>
      <c r="D11" s="2">
        <v>111.441890919287</v>
      </c>
      <c r="F11" s="2">
        <v>0.47734753992266998</v>
      </c>
      <c r="J11" s="3">
        <v>5.5186290700405803E-6</v>
      </c>
      <c r="K11" s="2">
        <f t="shared" si="0"/>
        <v>5.5186290700405802</v>
      </c>
      <c r="L11" s="2">
        <f>K11*((1-F11)/F11)</f>
        <v>6.042400595964601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E9CAE-6324-4695-82DB-BACA1AAF2394}">
  <dimension ref="A1:L11"/>
  <sheetViews>
    <sheetView zoomScale="80" zoomScaleNormal="80" workbookViewId="0"/>
  </sheetViews>
  <sheetFormatPr defaultRowHeight="14.4" x14ac:dyDescent="0.55000000000000004"/>
  <cols>
    <col min="1" max="1" width="24.05078125" bestFit="1" customWidth="1"/>
    <col min="2" max="2" width="29.83984375" customWidth="1"/>
    <col min="3" max="3" width="29.3671875" bestFit="1" customWidth="1"/>
    <col min="4" max="4" width="16" bestFit="1" customWidth="1"/>
    <col min="5" max="5" width="11.47265625" bestFit="1" customWidth="1"/>
    <col min="6" max="6" width="13.3125" bestFit="1" customWidth="1"/>
    <col min="7" max="7" width="12.83984375" bestFit="1" customWidth="1"/>
    <col min="8" max="8" width="29.41796875" bestFit="1" customWidth="1"/>
    <col min="9" max="9" width="28.9453125" bestFit="1" customWidth="1"/>
    <col min="10" max="10" width="11.5234375" bestFit="1" customWidth="1"/>
    <col min="11" max="11" width="12.5234375" bestFit="1" customWidth="1"/>
    <col min="12" max="12" width="7.26171875" bestFit="1" customWidth="1"/>
  </cols>
  <sheetData>
    <row r="1" spans="1:12" ht="28.8" x14ac:dyDescent="0.55000000000000004">
      <c r="A1" s="1" t="s">
        <v>5</v>
      </c>
      <c r="B1" t="s">
        <v>2</v>
      </c>
      <c r="C1" t="s">
        <v>17</v>
      </c>
      <c r="D1" t="s">
        <v>0</v>
      </c>
      <c r="E1" t="s">
        <v>19</v>
      </c>
      <c r="F1" t="s">
        <v>4</v>
      </c>
      <c r="G1" t="s">
        <v>15</v>
      </c>
      <c r="H1" t="s">
        <v>13</v>
      </c>
      <c r="I1" t="s">
        <v>16</v>
      </c>
      <c r="J1" t="s">
        <v>8</v>
      </c>
      <c r="K1" t="s">
        <v>9</v>
      </c>
      <c r="L1" t="s">
        <v>10</v>
      </c>
    </row>
    <row r="2" spans="1:12" x14ac:dyDescent="0.55000000000000004">
      <c r="B2" s="2">
        <v>7.3184813033481797</v>
      </c>
      <c r="D2" s="2">
        <v>18.296203258370401</v>
      </c>
      <c r="F2" s="2">
        <v>0.86351236005893905</v>
      </c>
      <c r="J2" s="3">
        <v>9.0511616510272708E-6</v>
      </c>
      <c r="K2" s="2">
        <f>J2*10^6</f>
        <v>9.0511616510272717</v>
      </c>
      <c r="L2" s="2">
        <f>K2*((1-F2)/F2)</f>
        <v>1.4306357958668114</v>
      </c>
    </row>
    <row r="3" spans="1:12" x14ac:dyDescent="0.55000000000000004">
      <c r="B3" s="2">
        <v>13.1977293570847</v>
      </c>
      <c r="D3" s="2">
        <v>32.994323392711699</v>
      </c>
      <c r="F3" s="2">
        <v>0.71389038427900697</v>
      </c>
      <c r="J3" s="3">
        <v>8.4266346664596798E-6</v>
      </c>
      <c r="K3" s="2">
        <f t="shared" ref="K3:K11" si="0">J3*10^6</f>
        <v>8.4266346664596803</v>
      </c>
      <c r="L3" s="2">
        <f>K3*((1-F3)/F3)</f>
        <v>3.37718683334964</v>
      </c>
    </row>
    <row r="4" spans="1:12" x14ac:dyDescent="0.55000000000000004">
      <c r="B4" s="2">
        <v>18.2193317989137</v>
      </c>
      <c r="D4" s="2">
        <v>45.5483294972842</v>
      </c>
      <c r="F4" s="2">
        <v>0.58784032471704795</v>
      </c>
      <c r="J4" s="3">
        <v>7.63468167995314E-6</v>
      </c>
      <c r="K4" s="2">
        <f t="shared" si="0"/>
        <v>7.6346816799531396</v>
      </c>
      <c r="L4" s="2">
        <f>K4*((1-F4)/F4)</f>
        <v>5.3529977270831672</v>
      </c>
    </row>
    <row r="5" spans="1:12" x14ac:dyDescent="0.55000000000000004">
      <c r="B5" s="2">
        <v>22.8516633268089</v>
      </c>
      <c r="D5" s="2">
        <v>57.129158317022203</v>
      </c>
      <c r="F5" s="2">
        <v>0.55741154421366401</v>
      </c>
      <c r="J5" s="3">
        <v>6.9375822713070901E-6</v>
      </c>
      <c r="K5" s="2">
        <f t="shared" si="0"/>
        <v>6.9375822713070905</v>
      </c>
      <c r="L5" s="2">
        <f>K5*((1-F5)/F5)</f>
        <v>5.5084862454364627</v>
      </c>
    </row>
    <row r="6" spans="1:12" x14ac:dyDescent="0.55000000000000004">
      <c r="B6" s="2">
        <v>26.9441924771725</v>
      </c>
      <c r="D6" s="2">
        <v>67.360481192931204</v>
      </c>
      <c r="F6" s="2">
        <v>0.54600621907695002</v>
      </c>
      <c r="J6" s="3">
        <v>6.4926934095608999E-6</v>
      </c>
      <c r="K6" s="2">
        <f t="shared" si="0"/>
        <v>6.4926934095608999</v>
      </c>
      <c r="L6" s="2">
        <f>K6*((1-F6)/F6)</f>
        <v>5.3985510171731264</v>
      </c>
    </row>
    <row r="7" spans="1:12" x14ac:dyDescent="0.55000000000000004">
      <c r="B7" s="2">
        <v>30.470401948634098</v>
      </c>
      <c r="D7" s="2">
        <v>76.176004871585306</v>
      </c>
      <c r="F7" s="2">
        <v>0.52950091447122405</v>
      </c>
      <c r="J7" s="3">
        <v>6.2927859201369499E-6</v>
      </c>
      <c r="K7" s="2">
        <f t="shared" si="0"/>
        <v>6.29278592013695</v>
      </c>
      <c r="L7" s="2">
        <f>K7*((1-F7)/F7)</f>
        <v>5.5915862275884605</v>
      </c>
    </row>
    <row r="8" spans="1:12" x14ac:dyDescent="0.55000000000000004">
      <c r="B8" s="2">
        <v>33.621628515980397</v>
      </c>
      <c r="D8" s="2">
        <v>84.054071289950997</v>
      </c>
      <c r="F8" s="2">
        <v>0.52305880729778598</v>
      </c>
      <c r="J8" s="3">
        <v>6.1701668673313203E-6</v>
      </c>
      <c r="K8" s="2">
        <f t="shared" si="0"/>
        <v>6.1701668673313206</v>
      </c>
      <c r="L8" s="2">
        <f>K8*((1-F8)/F8)</f>
        <v>5.6261489221063723</v>
      </c>
    </row>
    <row r="9" spans="1:12" x14ac:dyDescent="0.55000000000000004">
      <c r="B9" s="2">
        <v>36.480274755204597</v>
      </c>
      <c r="D9" s="2">
        <v>91.200686888011404</v>
      </c>
      <c r="F9" s="2">
        <v>0.53471222837420496</v>
      </c>
      <c r="J9" s="3">
        <v>5.9597197197836503E-6</v>
      </c>
      <c r="K9" s="2">
        <f t="shared" si="0"/>
        <v>5.9597197197836502</v>
      </c>
      <c r="L9" s="2">
        <f>K9*((1-F9)/F9)</f>
        <v>5.1859384558376673</v>
      </c>
    </row>
    <row r="10" spans="1:12" x14ac:dyDescent="0.55000000000000004">
      <c r="B10" s="2">
        <v>39.137533171899499</v>
      </c>
      <c r="D10" s="2">
        <v>97.8438329297488</v>
      </c>
      <c r="F10" s="2">
        <v>0.546772532391266</v>
      </c>
      <c r="J10" s="3">
        <v>5.67954430692599E-6</v>
      </c>
      <c r="K10" s="2">
        <f t="shared" si="0"/>
        <v>5.6795443069259903</v>
      </c>
      <c r="L10" s="2">
        <f>K10*((1-F10)/F10)</f>
        <v>4.7078544200856918</v>
      </c>
    </row>
    <row r="11" spans="1:12" x14ac:dyDescent="0.55000000000000004">
      <c r="B11" s="2">
        <v>41.363389489301802</v>
      </c>
      <c r="D11" s="2">
        <v>103.408473723254</v>
      </c>
      <c r="F11" s="2">
        <v>0.54850655658564196</v>
      </c>
      <c r="J11" s="3">
        <v>5.8470547158378101E-6</v>
      </c>
      <c r="K11" s="2">
        <f t="shared" si="0"/>
        <v>5.8470547158378103</v>
      </c>
      <c r="L11" s="2">
        <f>K11*((1-F11)/F11)</f>
        <v>4.812899382495508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679C0-4BB2-4F1A-9972-6BF6B084186A}">
  <dimension ref="A1:L11"/>
  <sheetViews>
    <sheetView zoomScale="80" zoomScaleNormal="80" workbookViewId="0">
      <selection activeCell="B1" sqref="B1"/>
    </sheetView>
  </sheetViews>
  <sheetFormatPr defaultRowHeight="14.4" x14ac:dyDescent="0.55000000000000004"/>
  <cols>
    <col min="1" max="1" width="24.05078125" bestFit="1" customWidth="1"/>
    <col min="2" max="2" width="29.83984375" bestFit="1" customWidth="1"/>
    <col min="3" max="3" width="29.3671875" bestFit="1" customWidth="1"/>
    <col min="4" max="4" width="16" bestFit="1" customWidth="1"/>
    <col min="5" max="5" width="11.47265625" bestFit="1" customWidth="1"/>
    <col min="6" max="6" width="13.3125" bestFit="1" customWidth="1"/>
    <col min="7" max="7" width="12.83984375" bestFit="1" customWidth="1"/>
    <col min="8" max="8" width="29.41796875" bestFit="1" customWidth="1"/>
    <col min="9" max="9" width="28.9453125" bestFit="1" customWidth="1"/>
    <col min="10" max="10" width="11.5234375" bestFit="1" customWidth="1"/>
    <col min="11" max="11" width="12.5234375" bestFit="1" customWidth="1"/>
    <col min="12" max="12" width="7.26171875" bestFit="1" customWidth="1"/>
  </cols>
  <sheetData>
    <row r="1" spans="1:12" ht="28.8" x14ac:dyDescent="0.55000000000000004">
      <c r="A1" s="1" t="s">
        <v>5</v>
      </c>
      <c r="B1" t="s">
        <v>2</v>
      </c>
      <c r="C1" t="s">
        <v>17</v>
      </c>
      <c r="D1" t="s">
        <v>0</v>
      </c>
      <c r="E1" t="s">
        <v>19</v>
      </c>
      <c r="F1" t="s">
        <v>4</v>
      </c>
      <c r="G1" t="s">
        <v>15</v>
      </c>
      <c r="H1" t="s">
        <v>13</v>
      </c>
      <c r="I1" t="s">
        <v>16</v>
      </c>
      <c r="J1" t="s">
        <v>8</v>
      </c>
      <c r="K1" t="s">
        <v>9</v>
      </c>
      <c r="L1" t="s">
        <v>10</v>
      </c>
    </row>
    <row r="2" spans="1:12" x14ac:dyDescent="0.55000000000000004">
      <c r="B2" s="2">
        <v>7.0938307640953697</v>
      </c>
      <c r="D2" s="2">
        <v>17.734576910238399</v>
      </c>
      <c r="F2" s="2">
        <v>0.91838017129611205</v>
      </c>
      <c r="H2" s="2">
        <v>0.57899725181983297</v>
      </c>
      <c r="J2" s="3">
        <v>8.6729948628236692E-6</v>
      </c>
      <c r="K2" s="2">
        <f>J2*10^6</f>
        <v>8.6729948628236695</v>
      </c>
      <c r="L2" s="2">
        <f>K2*((1-F2)/F2)</f>
        <v>0.77080100069486868</v>
      </c>
    </row>
    <row r="3" spans="1:12" x14ac:dyDescent="0.55000000000000004">
      <c r="B3" s="2">
        <v>11.671618183343201</v>
      </c>
      <c r="D3" s="2">
        <v>29.1790454583581</v>
      </c>
      <c r="F3" s="2">
        <v>0.81381147098209095</v>
      </c>
      <c r="H3" s="2">
        <v>2.17312142081536</v>
      </c>
      <c r="J3" s="3">
        <v>8.0521161625332296E-6</v>
      </c>
      <c r="K3" s="2">
        <f t="shared" ref="K3:K11" si="0">J3*10^6</f>
        <v>8.0521161625332294</v>
      </c>
      <c r="L3" s="2">
        <f>K3*((1-F3)/F3)</f>
        <v>1.8422100415642639</v>
      </c>
    </row>
    <row r="4" spans="1:12" x14ac:dyDescent="0.55000000000000004">
      <c r="B4" s="2">
        <v>15.8697102055167</v>
      </c>
      <c r="D4" s="2">
        <v>39.674275513791699</v>
      </c>
      <c r="F4" s="2">
        <v>0.695412902918219</v>
      </c>
      <c r="H4" s="2">
        <v>4.8337089630274397</v>
      </c>
      <c r="J4" s="3">
        <v>7.4260542614575697E-6</v>
      </c>
      <c r="K4" s="2">
        <f t="shared" si="0"/>
        <v>7.42605426145757</v>
      </c>
      <c r="L4" s="2">
        <f>K4*((1-F4)/F4)</f>
        <v>3.2525716747236553</v>
      </c>
    </row>
    <row r="5" spans="1:12" x14ac:dyDescent="0.55000000000000004">
      <c r="B5" s="2">
        <v>19.8882377846334</v>
      </c>
      <c r="D5" s="2">
        <v>49.720594461583502</v>
      </c>
      <c r="F5" s="2">
        <v>0.64792535245350402</v>
      </c>
      <c r="H5" s="2">
        <v>7.00214430834572</v>
      </c>
      <c r="J5" s="3">
        <v>6.8846136635629002E-6</v>
      </c>
      <c r="K5" s="2">
        <f t="shared" si="0"/>
        <v>6.8846136635629005</v>
      </c>
      <c r="L5" s="2">
        <f>K5*((1-F5)/F5)</f>
        <v>3.7410141768864351</v>
      </c>
    </row>
    <row r="6" spans="1:12" x14ac:dyDescent="0.55000000000000004">
      <c r="B6" s="2">
        <v>23.6495911932235</v>
      </c>
      <c r="D6" s="2">
        <v>59.123977983058801</v>
      </c>
      <c r="F6" s="2">
        <v>0.62314494296140999</v>
      </c>
      <c r="H6" s="2">
        <v>8.9124680380615704</v>
      </c>
      <c r="J6" s="3">
        <v>6.44345501833777E-6</v>
      </c>
      <c r="K6" s="2">
        <f t="shared" si="0"/>
        <v>6.4434550183377697</v>
      </c>
      <c r="L6" s="2">
        <f>K6*((1-F6)/F6)</f>
        <v>3.896763723896008</v>
      </c>
    </row>
    <row r="7" spans="1:12" x14ac:dyDescent="0.55000000000000004">
      <c r="B7" s="2">
        <v>27.1665541804044</v>
      </c>
      <c r="D7" s="2">
        <v>67.916385451010996</v>
      </c>
      <c r="F7" s="2">
        <v>0.60193007235332596</v>
      </c>
      <c r="H7" s="2">
        <v>10.814188257003</v>
      </c>
      <c r="J7" s="3">
        <v>6.0859305961084499E-6</v>
      </c>
      <c r="K7" s="2">
        <f t="shared" si="0"/>
        <v>6.08593059610845</v>
      </c>
      <c r="L7" s="2">
        <f>K7*((1-F7)/F7)</f>
        <v>4.0247631134028428</v>
      </c>
    </row>
    <row r="8" spans="1:12" x14ac:dyDescent="0.55000000000000004">
      <c r="B8" s="2">
        <v>30.506355628536799</v>
      </c>
      <c r="D8" s="2">
        <v>76.265889071342002</v>
      </c>
      <c r="F8" s="2">
        <v>0.57728075533494305</v>
      </c>
      <c r="H8" s="2">
        <v>12.895623608778701</v>
      </c>
      <c r="J8" s="3">
        <v>5.7918106230034502E-6</v>
      </c>
      <c r="K8" s="2">
        <f t="shared" si="0"/>
        <v>5.7918106230034505</v>
      </c>
      <c r="L8" s="2">
        <f>K8*((1-F8)/F8)</f>
        <v>4.24110762254415</v>
      </c>
    </row>
    <row r="9" spans="1:12" x14ac:dyDescent="0.55000000000000004">
      <c r="B9" s="2">
        <v>33.688542464339697</v>
      </c>
      <c r="D9" s="2">
        <v>84.221356160849297</v>
      </c>
      <c r="F9" s="2">
        <v>0.56008278169374304</v>
      </c>
      <c r="H9" s="2">
        <v>14.8201698897046</v>
      </c>
      <c r="J9" s="3">
        <v>5.4997025287608803E-6</v>
      </c>
      <c r="K9" s="2">
        <f t="shared" si="0"/>
        <v>5.4997025287608805</v>
      </c>
      <c r="L9" s="2">
        <f>K9*((1-F9)/F9)</f>
        <v>4.3197432898184065</v>
      </c>
    </row>
    <row r="10" spans="1:12" x14ac:dyDescent="0.55000000000000004">
      <c r="B10" s="2">
        <v>36.723683125476697</v>
      </c>
      <c r="D10" s="2">
        <v>91.809207813691799</v>
      </c>
      <c r="F10" s="2">
        <v>0.55195689373691903</v>
      </c>
      <c r="H10" s="2">
        <v>16.453793060959701</v>
      </c>
      <c r="J10" s="3">
        <v>5.1791746764477903E-6</v>
      </c>
      <c r="K10" s="2">
        <f t="shared" si="0"/>
        <v>5.1791746764477899</v>
      </c>
      <c r="L10" s="2">
        <f>K10*((1-F10)/F10)</f>
        <v>4.2041208946667838</v>
      </c>
    </row>
    <row r="11" spans="1:12" x14ac:dyDescent="0.55000000000000004">
      <c r="B11" s="2">
        <v>39.1100237415084</v>
      </c>
      <c r="D11" s="2">
        <v>97.775059353770999</v>
      </c>
      <c r="F11" s="2">
        <v>0.53529494828541202</v>
      </c>
      <c r="H11" s="2">
        <v>18.1746256053564</v>
      </c>
      <c r="J11" s="3">
        <v>4.8535905356839398E-6</v>
      </c>
      <c r="K11" s="2">
        <f t="shared" si="0"/>
        <v>4.8535905356839395</v>
      </c>
      <c r="L11" s="2">
        <f>K11*((1-F11)/F11)</f>
        <v>4.2135425490394205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0FA8-C789-44AE-92A5-B77C41CFDCE5}">
  <dimension ref="A1:L11"/>
  <sheetViews>
    <sheetView zoomScale="80" zoomScaleNormal="80" workbookViewId="0"/>
  </sheetViews>
  <sheetFormatPr defaultRowHeight="14.4" x14ac:dyDescent="0.55000000000000004"/>
  <cols>
    <col min="1" max="1" width="24.05078125" bestFit="1" customWidth="1"/>
    <col min="2" max="2" width="29.83984375" customWidth="1"/>
    <col min="3" max="3" width="29.3671875" bestFit="1" customWidth="1"/>
    <col min="4" max="4" width="16" bestFit="1" customWidth="1"/>
    <col min="5" max="5" width="11.47265625" bestFit="1" customWidth="1"/>
    <col min="6" max="6" width="13.3125" bestFit="1" customWidth="1"/>
    <col min="7" max="7" width="12.83984375" bestFit="1" customWidth="1"/>
    <col min="8" max="8" width="29.41796875" bestFit="1" customWidth="1"/>
    <col min="9" max="9" width="28.9453125" bestFit="1" customWidth="1"/>
    <col min="10" max="10" width="11.5234375" bestFit="1" customWidth="1"/>
    <col min="11" max="11" width="12.5234375" bestFit="1" customWidth="1"/>
    <col min="12" max="12" width="7.26171875" bestFit="1" customWidth="1"/>
  </cols>
  <sheetData>
    <row r="1" spans="1:12" ht="28.8" x14ac:dyDescent="0.55000000000000004">
      <c r="A1" s="1" t="s">
        <v>5</v>
      </c>
      <c r="B1" t="s">
        <v>2</v>
      </c>
      <c r="C1" t="s">
        <v>17</v>
      </c>
      <c r="D1" t="s">
        <v>0</v>
      </c>
      <c r="E1" t="s">
        <v>19</v>
      </c>
      <c r="F1" t="s">
        <v>4</v>
      </c>
      <c r="G1" t="s">
        <v>15</v>
      </c>
      <c r="H1" t="s">
        <v>13</v>
      </c>
      <c r="I1" t="s">
        <v>16</v>
      </c>
      <c r="J1" t="s">
        <v>8</v>
      </c>
      <c r="K1" t="s">
        <v>9</v>
      </c>
      <c r="L1" t="s">
        <v>10</v>
      </c>
    </row>
    <row r="2" spans="1:12" x14ac:dyDescent="0.55000000000000004">
      <c r="B2" s="2">
        <v>5.0860365119162001</v>
      </c>
      <c r="D2" s="2">
        <v>12.715091279790499</v>
      </c>
      <c r="F2" s="2">
        <v>0.88110829906260701</v>
      </c>
      <c r="J2" s="3">
        <v>6.61660438252053E-6</v>
      </c>
      <c r="K2" s="2">
        <f>J2*10^6</f>
        <v>6.6166043825205296</v>
      </c>
      <c r="L2" s="2">
        <f>K2*((1-F2)/F2)</f>
        <v>0.8928066507880873</v>
      </c>
    </row>
    <row r="3" spans="1:12" x14ac:dyDescent="0.55000000000000004">
      <c r="B3" s="2">
        <v>10.0986859584428</v>
      </c>
      <c r="D3" s="2">
        <v>25.246714896107001</v>
      </c>
      <c r="F3" s="2">
        <v>0.74467676805798599</v>
      </c>
      <c r="J3" s="3">
        <v>5.4987606173169499E-6</v>
      </c>
      <c r="K3" s="2">
        <f t="shared" ref="K3:K11" si="0">J3*10^6</f>
        <v>5.4987606173169503</v>
      </c>
      <c r="L3" s="2">
        <f>K3*((1-F3)/F3)</f>
        <v>1.8853298406906998</v>
      </c>
    </row>
    <row r="4" spans="1:12" x14ac:dyDescent="0.55000000000000004">
      <c r="B4" s="2">
        <v>14.536940086274999</v>
      </c>
      <c r="D4" s="2">
        <v>36.342350215687603</v>
      </c>
      <c r="F4" s="2">
        <v>0.57271016599398195</v>
      </c>
      <c r="J4" s="3">
        <v>4.6626404538456202E-6</v>
      </c>
      <c r="K4" s="2">
        <f t="shared" si="0"/>
        <v>4.6626404538456203</v>
      </c>
      <c r="L4" s="2">
        <f>K4*((1-F4)/F4)</f>
        <v>3.4787209724060926</v>
      </c>
    </row>
    <row r="5" spans="1:12" x14ac:dyDescent="0.55000000000000004">
      <c r="B5" s="2">
        <v>18.218883077722399</v>
      </c>
      <c r="D5" s="2">
        <v>45.547207694305897</v>
      </c>
      <c r="F5" s="2">
        <v>0.44392243859411801</v>
      </c>
      <c r="J5" s="3">
        <v>4.2058066475346503E-6</v>
      </c>
      <c r="K5" s="2">
        <f t="shared" si="0"/>
        <v>4.2058066475346498</v>
      </c>
      <c r="L5" s="2">
        <f>K5*((1-F5)/F5)</f>
        <v>5.2683858732449851</v>
      </c>
    </row>
    <row r="6" spans="1:12" x14ac:dyDescent="0.55000000000000004">
      <c r="B6" s="2">
        <v>21.721411112517899</v>
      </c>
      <c r="D6" s="2">
        <v>54.303527781294797</v>
      </c>
      <c r="F6" s="2">
        <v>0.42515841536394</v>
      </c>
      <c r="J6" s="3">
        <v>4.0108757342021701E-6</v>
      </c>
      <c r="K6" s="2">
        <f t="shared" si="0"/>
        <v>4.0108757342021697</v>
      </c>
      <c r="L6" s="2">
        <f>K6*((1-F6)/F6)</f>
        <v>5.4229625464509805</v>
      </c>
    </row>
    <row r="7" spans="1:12" x14ac:dyDescent="0.55000000000000004">
      <c r="B7" s="2">
        <v>24.9698178970703</v>
      </c>
      <c r="D7" s="2">
        <v>62.4245447426757</v>
      </c>
      <c r="F7" s="2">
        <v>0.446861357177813</v>
      </c>
      <c r="J7" s="3">
        <v>3.9172030075706901E-6</v>
      </c>
      <c r="K7" s="2">
        <f t="shared" si="0"/>
        <v>3.9172030075706901</v>
      </c>
      <c r="L7" s="2">
        <f>K7*((1-F7)/F7)</f>
        <v>4.8488335821896875</v>
      </c>
    </row>
    <row r="8" spans="1:12" x14ac:dyDescent="0.55000000000000004">
      <c r="B8" s="2">
        <v>27.825369571394901</v>
      </c>
      <c r="D8" s="2">
        <v>69.563423928487396</v>
      </c>
      <c r="F8" s="2">
        <v>0.43677369534046101</v>
      </c>
      <c r="J8" s="3">
        <v>3.81978834341683E-6</v>
      </c>
      <c r="K8" s="2">
        <f t="shared" si="0"/>
        <v>3.81978834341683</v>
      </c>
      <c r="L8" s="2">
        <f>K8*((1-F8)/F8)</f>
        <v>4.9256750033154875</v>
      </c>
    </row>
    <row r="9" spans="1:12" x14ac:dyDescent="0.55000000000000004">
      <c r="B9" s="2">
        <v>30.677227833919002</v>
      </c>
      <c r="D9" s="2">
        <v>76.693069584797499</v>
      </c>
      <c r="F9" s="2">
        <v>0.48439568523134902</v>
      </c>
      <c r="J9" s="3">
        <v>3.6858194982479E-6</v>
      </c>
      <c r="K9" s="2">
        <f t="shared" si="0"/>
        <v>3.6858194982479002</v>
      </c>
      <c r="L9" s="2">
        <f>K9*((1-F9)/F9)</f>
        <v>3.9232893576403192</v>
      </c>
    </row>
    <row r="10" spans="1:12" x14ac:dyDescent="0.55000000000000004">
      <c r="B10" s="2">
        <v>32.987625706062097</v>
      </c>
      <c r="D10" s="2">
        <v>82.469064265155296</v>
      </c>
      <c r="F10" s="2">
        <v>0.45726969797218697</v>
      </c>
      <c r="J10" s="3">
        <v>3.5447449855872799E-6</v>
      </c>
      <c r="K10" s="2">
        <f t="shared" si="0"/>
        <v>3.5447449855872799</v>
      </c>
      <c r="L10" s="2">
        <f>K10*((1-F10)/F10)</f>
        <v>4.2072337729152922</v>
      </c>
    </row>
    <row r="11" spans="1:12" x14ac:dyDescent="0.55000000000000004">
      <c r="B11" s="2">
        <v>35.186018873673</v>
      </c>
      <c r="D11" s="2">
        <v>87.965047184182495</v>
      </c>
      <c r="F11" s="2">
        <v>0.47884234024150801</v>
      </c>
      <c r="J11" s="3">
        <v>3.4516766013691201E-6</v>
      </c>
      <c r="K11" s="2">
        <f t="shared" si="0"/>
        <v>3.4516766013691202</v>
      </c>
      <c r="L11" s="2">
        <f>K11*((1-F11)/F11)</f>
        <v>3.7567014205665319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B122-4453-4DC4-B00F-DCFD60061D4A}">
  <dimension ref="A1:L11"/>
  <sheetViews>
    <sheetView zoomScale="80" zoomScaleNormal="80" workbookViewId="0"/>
  </sheetViews>
  <sheetFormatPr defaultRowHeight="14.4" x14ac:dyDescent="0.55000000000000004"/>
  <cols>
    <col min="1" max="1" width="24.05078125" bestFit="1" customWidth="1"/>
    <col min="2" max="2" width="29.5234375" bestFit="1" customWidth="1"/>
    <col min="3" max="3" width="29.3671875" bestFit="1" customWidth="1"/>
    <col min="4" max="4" width="16" bestFit="1" customWidth="1"/>
    <col min="5" max="5" width="11.15625" bestFit="1" customWidth="1"/>
    <col min="6" max="6" width="13" bestFit="1" customWidth="1"/>
    <col min="7" max="7" width="12.83984375" bestFit="1" customWidth="1"/>
    <col min="8" max="8" width="29.1015625" bestFit="1" customWidth="1"/>
    <col min="9" max="9" width="28.9453125" bestFit="1" customWidth="1"/>
    <col min="10" max="10" width="11.5234375" bestFit="1" customWidth="1"/>
    <col min="11" max="11" width="12.5234375" bestFit="1" customWidth="1"/>
    <col min="12" max="12" width="7.26171875" bestFit="1" customWidth="1"/>
  </cols>
  <sheetData>
    <row r="1" spans="1:12" ht="28.8" x14ac:dyDescent="0.55000000000000004">
      <c r="A1" s="1" t="s">
        <v>5</v>
      </c>
      <c r="B1" t="s">
        <v>6</v>
      </c>
      <c r="C1" t="s">
        <v>17</v>
      </c>
      <c r="D1" t="s">
        <v>0</v>
      </c>
      <c r="E1" t="s">
        <v>18</v>
      </c>
      <c r="F1" t="s">
        <v>7</v>
      </c>
      <c r="G1" t="s">
        <v>15</v>
      </c>
      <c r="H1" t="s">
        <v>12</v>
      </c>
      <c r="I1" t="s">
        <v>16</v>
      </c>
      <c r="J1" t="s">
        <v>8</v>
      </c>
      <c r="K1" t="s">
        <v>9</v>
      </c>
      <c r="L1" t="s">
        <v>10</v>
      </c>
    </row>
    <row r="2" spans="1:12" x14ac:dyDescent="0.55000000000000004">
      <c r="B2" s="2">
        <v>3.3204733748979098</v>
      </c>
      <c r="D2" s="2">
        <v>16.602366874489501</v>
      </c>
      <c r="F2" s="2">
        <v>0.98175039827612298</v>
      </c>
      <c r="H2" s="2">
        <v>6.0597316626625097E-2</v>
      </c>
      <c r="J2" s="3">
        <v>9.4358694086608006E-6</v>
      </c>
      <c r="K2" s="2">
        <f>J2*10^6</f>
        <v>9.4358694086608015</v>
      </c>
      <c r="L2" s="2">
        <f>K2*((1-F2)/F2)</f>
        <v>0.1754018729495255</v>
      </c>
    </row>
    <row r="3" spans="1:12" x14ac:dyDescent="0.55000000000000004">
      <c r="B3" s="2">
        <v>5.7330055622964604</v>
      </c>
      <c r="D3" s="2">
        <v>28.6650278114823</v>
      </c>
      <c r="F3" s="2">
        <v>0.97990104953946999</v>
      </c>
      <c r="H3" s="2">
        <v>0.115227394786537</v>
      </c>
      <c r="J3" s="3">
        <v>8.6284191874671705E-6</v>
      </c>
      <c r="K3" s="2">
        <f t="shared" ref="K3:K11" si="0">J3*10^6</f>
        <v>8.6284191874671698</v>
      </c>
      <c r="L3" s="2">
        <f>K3*((1-F3)/F3)</f>
        <v>0.17697926732815877</v>
      </c>
    </row>
    <row r="4" spans="1:12" x14ac:dyDescent="0.55000000000000004">
      <c r="B4" s="2">
        <v>7.9973280565698204</v>
      </c>
      <c r="D4" s="2">
        <v>39.986640282849102</v>
      </c>
      <c r="F4" s="2">
        <v>0.97466122191332305</v>
      </c>
      <c r="H4" s="2">
        <v>0.20264252091178001</v>
      </c>
      <c r="J4" s="3">
        <v>7.8459081627018704E-6</v>
      </c>
      <c r="K4" s="2">
        <f t="shared" si="0"/>
        <v>7.8459081627018703</v>
      </c>
      <c r="L4" s="2">
        <f>K4*((1-F4)/F4)</f>
        <v>0.20397418236552128</v>
      </c>
    </row>
    <row r="5" spans="1:12" x14ac:dyDescent="0.55000000000000004">
      <c r="B5" s="2">
        <v>10.2783149598718</v>
      </c>
      <c r="D5" s="2">
        <v>51.3915747993588</v>
      </c>
      <c r="F5" s="2">
        <v>0.97176891711697799</v>
      </c>
      <c r="H5" s="2">
        <v>0.29016796152994601</v>
      </c>
      <c r="J5" s="3">
        <v>7.1506329590216396E-6</v>
      </c>
      <c r="K5" s="2">
        <f t="shared" si="0"/>
        <v>7.1506329590216398</v>
      </c>
      <c r="L5" s="2">
        <f>K5*((1-F5)/F5)</f>
        <v>0.2077346868956382</v>
      </c>
    </row>
    <row r="6" spans="1:12" x14ac:dyDescent="0.55000000000000004">
      <c r="B6" s="2">
        <v>12.5061435260757</v>
      </c>
      <c r="D6" s="2">
        <v>62.530717630378398</v>
      </c>
      <c r="F6" s="2">
        <v>0.96968729661328701</v>
      </c>
      <c r="H6" s="2">
        <v>0.37909501921759298</v>
      </c>
      <c r="J6" s="3">
        <v>6.5370139526892299E-6</v>
      </c>
      <c r="K6" s="2">
        <f t="shared" si="0"/>
        <v>6.5370139526892297</v>
      </c>
      <c r="L6" s="2">
        <f>K6*((1-F6)/F6)</f>
        <v>0.20434893359410203</v>
      </c>
    </row>
    <row r="7" spans="1:12" x14ac:dyDescent="0.55000000000000004">
      <c r="B7" s="2">
        <v>14.6692817016335</v>
      </c>
      <c r="D7" s="2">
        <v>73.346408508167599</v>
      </c>
      <c r="F7" s="2">
        <v>0.96837016383087504</v>
      </c>
      <c r="H7" s="2">
        <v>0.463986976941405</v>
      </c>
      <c r="J7" s="3">
        <v>6.05193805752844E-6</v>
      </c>
      <c r="K7" s="2">
        <f t="shared" si="0"/>
        <v>6.0519380575284396</v>
      </c>
      <c r="L7" s="2">
        <f>K7*((1-F7)/F7)</f>
        <v>0.19767421221245776</v>
      </c>
    </row>
    <row r="8" spans="1:12" x14ac:dyDescent="0.55000000000000004">
      <c r="B8" s="2">
        <v>16.817379297423798</v>
      </c>
      <c r="D8" s="2">
        <v>84.086896487118906</v>
      </c>
      <c r="F8" s="2">
        <v>0.966899750733478</v>
      </c>
      <c r="H8" s="2">
        <v>0.55665944675437495</v>
      </c>
      <c r="J8" s="3">
        <v>5.65117921999177E-6</v>
      </c>
      <c r="K8" s="2">
        <f t="shared" si="0"/>
        <v>5.6511792199917696</v>
      </c>
      <c r="L8" s="2">
        <f>K8*((1-F8)/F8)</f>
        <v>0.19345898133660602</v>
      </c>
    </row>
    <row r="9" spans="1:12" x14ac:dyDescent="0.55000000000000004">
      <c r="B9" s="2">
        <v>18.899549685591101</v>
      </c>
      <c r="D9" s="2">
        <v>94.497748427955599</v>
      </c>
      <c r="F9" s="2">
        <v>0.96518232153342698</v>
      </c>
      <c r="H9" s="2">
        <v>0.65803844411593004</v>
      </c>
      <c r="J9" s="3">
        <v>5.27537908373319E-6</v>
      </c>
      <c r="K9" s="2">
        <f t="shared" si="0"/>
        <v>5.2753790837331902</v>
      </c>
      <c r="L9" s="2">
        <f>K9*((1-F9)/F9)</f>
        <v>0.19030233835498775</v>
      </c>
    </row>
    <row r="10" spans="1:12" x14ac:dyDescent="0.55000000000000004">
      <c r="B10" s="2">
        <v>20.9374658318158</v>
      </c>
      <c r="D10" s="2">
        <v>104.687329159079</v>
      </c>
      <c r="F10" s="2">
        <v>0.96388217742496696</v>
      </c>
      <c r="H10" s="2">
        <v>0.75621567608434703</v>
      </c>
      <c r="J10" s="3">
        <v>4.9229439665701399E-6</v>
      </c>
      <c r="K10" s="2">
        <f t="shared" si="0"/>
        <v>4.9229439665701396</v>
      </c>
      <c r="L10" s="2">
        <f>K10*((1-F10)/F10)</f>
        <v>0.18446862167990541</v>
      </c>
    </row>
    <row r="11" spans="1:12" x14ac:dyDescent="0.55000000000000004">
      <c r="B11" s="2">
        <v>22.928742867265399</v>
      </c>
      <c r="D11" s="2">
        <v>114.64371433632699</v>
      </c>
      <c r="F11" s="2">
        <v>0.96143603795834298</v>
      </c>
      <c r="H11" s="2">
        <v>0.88422316959612601</v>
      </c>
      <c r="J11" s="3">
        <v>4.6484911744452801E-6</v>
      </c>
      <c r="K11" s="2">
        <f t="shared" si="0"/>
        <v>4.6484911744452804</v>
      </c>
      <c r="L11" s="2">
        <f>K11*((1-F11)/F11)</f>
        <v>0.18645466793918181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905A0-2F7E-43C4-B253-52BD62E36AA4}">
  <dimension ref="A1:L11"/>
  <sheetViews>
    <sheetView zoomScale="80" zoomScaleNormal="80" workbookViewId="0">
      <selection activeCell="B1" sqref="B1:L1"/>
    </sheetView>
  </sheetViews>
  <sheetFormatPr defaultRowHeight="14.4" x14ac:dyDescent="0.55000000000000004"/>
  <cols>
    <col min="1" max="1" width="24.05078125" bestFit="1" customWidth="1"/>
    <col min="2" max="2" width="29.5234375" bestFit="1" customWidth="1"/>
    <col min="3" max="3" width="29.3671875" bestFit="1" customWidth="1"/>
    <col min="4" max="4" width="16" bestFit="1" customWidth="1"/>
    <col min="5" max="5" width="11.5234375" bestFit="1" customWidth="1"/>
    <col min="6" max="6" width="13.20703125" bestFit="1" customWidth="1"/>
    <col min="7" max="7" width="12.83984375" bestFit="1" customWidth="1"/>
    <col min="8" max="8" width="29.1015625" bestFit="1" customWidth="1"/>
    <col min="9" max="9" width="28.9453125" bestFit="1" customWidth="1"/>
    <col min="10" max="10" width="11.5234375" bestFit="1" customWidth="1"/>
    <col min="11" max="11" width="12.5234375" bestFit="1" customWidth="1"/>
    <col min="12" max="12" width="7.26171875" bestFit="1" customWidth="1"/>
  </cols>
  <sheetData>
    <row r="1" spans="1:12" ht="28.8" x14ac:dyDescent="0.55000000000000004">
      <c r="A1" s="1" t="s">
        <v>5</v>
      </c>
      <c r="B1" t="s">
        <v>6</v>
      </c>
      <c r="C1" t="s">
        <v>17</v>
      </c>
      <c r="D1" t="s">
        <v>0</v>
      </c>
      <c r="E1" t="s">
        <v>18</v>
      </c>
      <c r="F1" t="s">
        <v>7</v>
      </c>
      <c r="G1" t="s">
        <v>15</v>
      </c>
      <c r="H1" t="s">
        <v>12</v>
      </c>
      <c r="I1" t="s">
        <v>16</v>
      </c>
      <c r="J1" t="s">
        <v>8</v>
      </c>
      <c r="K1" t="s">
        <v>9</v>
      </c>
      <c r="L1" t="s">
        <v>10</v>
      </c>
    </row>
    <row r="2" spans="1:12" x14ac:dyDescent="0.55000000000000004">
      <c r="B2" s="2">
        <v>2.1690913877879798</v>
      </c>
      <c r="D2" s="2">
        <v>10.8454569389399</v>
      </c>
      <c r="F2" s="2">
        <v>0.98778708831481399</v>
      </c>
      <c r="J2" s="3">
        <v>1.0487575251645001E-5</v>
      </c>
      <c r="K2" s="2">
        <f>J2*10^6</f>
        <v>10.487575251645001</v>
      </c>
      <c r="L2" s="2">
        <f>K2*((1-F2)/F2)</f>
        <v>0.12966744742391464</v>
      </c>
    </row>
    <row r="3" spans="1:12" x14ac:dyDescent="0.55000000000000004">
      <c r="B3" s="2">
        <v>4.5285249902712401</v>
      </c>
      <c r="D3" s="2">
        <v>22.642624951356201</v>
      </c>
      <c r="F3" s="2">
        <v>0.98844715155235496</v>
      </c>
      <c r="J3" s="3">
        <v>9.6301973174574402E-6</v>
      </c>
      <c r="K3" s="2">
        <f t="shared" ref="K3:K11" si="0">J3*10^6</f>
        <v>9.6301973174574407</v>
      </c>
      <c r="L3" s="2">
        <f>K3*((1-F3)/F3)</f>
        <v>0.11255655899738884</v>
      </c>
    </row>
    <row r="4" spans="1:12" x14ac:dyDescent="0.55000000000000004">
      <c r="B4" s="2">
        <v>6.8722389308684004</v>
      </c>
      <c r="D4" s="2">
        <v>34.361194654342</v>
      </c>
      <c r="F4" s="2">
        <v>0.98319432284122399</v>
      </c>
      <c r="J4" s="3">
        <v>8.7263242709529908E-6</v>
      </c>
      <c r="K4" s="2">
        <f t="shared" si="0"/>
        <v>8.7263242709529916</v>
      </c>
      <c r="L4" s="2">
        <f>K4*((1-F4)/F4)</f>
        <v>0.14915849804404355</v>
      </c>
    </row>
    <row r="5" spans="1:12" x14ac:dyDescent="0.55000000000000004">
      <c r="B5" s="2">
        <v>9.1617034001690492</v>
      </c>
      <c r="D5" s="2">
        <v>45.8085170008452</v>
      </c>
      <c r="F5" s="2">
        <v>0.98199523111865905</v>
      </c>
      <c r="J5" s="3">
        <v>7.8664967119458804E-6</v>
      </c>
      <c r="K5" s="2">
        <f t="shared" si="0"/>
        <v>7.8664967119458806</v>
      </c>
      <c r="L5" s="2">
        <f>K5*((1-F5)/F5)</f>
        <v>0.14423130654419616</v>
      </c>
    </row>
    <row r="6" spans="1:12" x14ac:dyDescent="0.55000000000000004">
      <c r="B6" s="2">
        <v>11.3653649784024</v>
      </c>
      <c r="D6" s="2">
        <v>56.826824892012198</v>
      </c>
      <c r="F6" s="2">
        <v>0.98090796120171797</v>
      </c>
      <c r="J6" s="3">
        <v>7.1511949848263101E-6</v>
      </c>
      <c r="K6" s="2">
        <f t="shared" si="0"/>
        <v>7.1511949848263106</v>
      </c>
      <c r="L6" s="2">
        <f>K6*((1-F6)/F6)</f>
        <v>0.1391882801492596</v>
      </c>
    </row>
    <row r="7" spans="1:12" x14ac:dyDescent="0.55000000000000004">
      <c r="B7" s="2">
        <v>13.5149887409319</v>
      </c>
      <c r="D7" s="2">
        <v>67.574943704659404</v>
      </c>
      <c r="F7" s="2">
        <v>0.98026720551817803</v>
      </c>
      <c r="J7" s="3">
        <v>6.5590100051134202E-6</v>
      </c>
      <c r="K7" s="2">
        <f t="shared" si="0"/>
        <v>6.5590100051134206</v>
      </c>
      <c r="L7" s="2">
        <f>K7*((1-F7)/F7)</f>
        <v>0.1320329760156575</v>
      </c>
    </row>
    <row r="8" spans="1:12" x14ac:dyDescent="0.55000000000000004">
      <c r="B8" s="2">
        <v>15.669410299257001</v>
      </c>
      <c r="D8" s="2">
        <v>78.347051496284905</v>
      </c>
      <c r="F8" s="2">
        <v>0.97905959843730395</v>
      </c>
      <c r="J8" s="3">
        <v>6.0610867569902799E-6</v>
      </c>
      <c r="K8" s="2">
        <f t="shared" si="0"/>
        <v>6.0610867569902798</v>
      </c>
      <c r="L8" s="2">
        <f>K8*((1-F8)/F8)</f>
        <v>0.12963622521069978</v>
      </c>
    </row>
    <row r="9" spans="1:12" x14ac:dyDescent="0.55000000000000004">
      <c r="B9" s="2">
        <v>17.718639793474701</v>
      </c>
      <c r="D9" s="2">
        <v>88.593198967373596</v>
      </c>
      <c r="F9" s="2">
        <v>0.976441075249598</v>
      </c>
      <c r="J9" s="3">
        <v>5.6154670891996696E-6</v>
      </c>
      <c r="K9" s="2">
        <f t="shared" si="0"/>
        <v>5.6154670891996696</v>
      </c>
      <c r="L9" s="2">
        <f>K9*((1-F9)/F9)</f>
        <v>0.13548627761178203</v>
      </c>
    </row>
    <row r="10" spans="1:12" x14ac:dyDescent="0.55000000000000004">
      <c r="B10" s="2">
        <v>19.6930761963226</v>
      </c>
      <c r="D10" s="2">
        <v>98.465380981613194</v>
      </c>
      <c r="F10" s="2">
        <v>0.97644708573954098</v>
      </c>
      <c r="J10" s="3">
        <v>5.1514639428089101E-6</v>
      </c>
      <c r="K10" s="2">
        <f t="shared" si="0"/>
        <v>5.1514639428089097</v>
      </c>
      <c r="L10" s="2">
        <f>K10*((1-F10)/F10)</f>
        <v>0.12425864169478275</v>
      </c>
    </row>
    <row r="11" spans="1:12" x14ac:dyDescent="0.55000000000000004">
      <c r="B11" s="2">
        <v>21.605325909268</v>
      </c>
      <c r="D11" s="2">
        <v>108.02662954634</v>
      </c>
      <c r="F11" s="2">
        <v>0.97552819924884404</v>
      </c>
      <c r="J11" s="3">
        <v>4.7403202292499897E-6</v>
      </c>
      <c r="K11" s="2">
        <f t="shared" si="0"/>
        <v>4.7403202292499893</v>
      </c>
      <c r="L11" s="2">
        <f>K11*((1-F11)/F11)</f>
        <v>0.11891421717609271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Consolidate Data</vt:lpstr>
      <vt:lpstr>NF270_MC2 05.07.24_NaCl</vt:lpstr>
      <vt:lpstr>NF270_MC3 07.22.24_SNaCl</vt:lpstr>
      <vt:lpstr>NF270_MC4 07.11.24_SNaCl</vt:lpstr>
      <vt:lpstr>NF270_MC5 07.23.24_NaCl</vt:lpstr>
      <vt:lpstr>NF270_MC5 07.23.24_SNaCl</vt:lpstr>
      <vt:lpstr>NF270_MC5 07.23.24_S2NaCl</vt:lpstr>
      <vt:lpstr>NF270_MC2 05.07.24_CaCl2</vt:lpstr>
      <vt:lpstr>NF270_MC3 07.11.24_CaCl2</vt:lpstr>
      <vt:lpstr>NF270_MC3 07.11.24_SCaCl2</vt:lpstr>
      <vt:lpstr>NF270_MC3 07.12.24_S2CaCl2</vt:lpstr>
      <vt:lpstr>NF270_MC2 05.21.24_LaCl3</vt:lpstr>
      <vt:lpstr>NF270_MC4 07.11.24_SLaCl3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Laurianne Estrada</dc:creator>
  <cp:lastModifiedBy>Laurianne Estrada</cp:lastModifiedBy>
  <dcterms:created xsi:type="dcterms:W3CDTF">2025-08-27T17:56:12Z</dcterms:created>
  <dcterms:modified xsi:type="dcterms:W3CDTF">2025-09-09T22:49:12Z</dcterms:modified>
</cp:coreProperties>
</file>